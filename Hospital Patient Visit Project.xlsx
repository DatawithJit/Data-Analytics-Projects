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D:\Excel full course\Excel Project\"/>
    </mc:Choice>
  </mc:AlternateContent>
  <xr:revisionPtr revIDLastSave="0" documentId="13_ncr:1_{2D7E9A8E-D115-438E-92C2-5F8890C515A6}" xr6:coauthVersionLast="47" xr6:coauthVersionMax="47" xr10:uidLastSave="{00000000-0000-0000-0000-000000000000}"/>
  <bookViews>
    <workbookView xWindow="-120" yWindow="-120" windowWidth="24240" windowHeight="13020" xr2:uid="{CECA2C8E-F24C-44BC-8DC9-9DC3B683C74F}"/>
  </bookViews>
  <sheets>
    <sheet name="Dashboards" sheetId="1" r:id="rId1"/>
    <sheet name="KPI" sheetId="3" r:id="rId2"/>
    <sheet name="Pivot Table" sheetId="2" r:id="rId3"/>
  </sheets>
  <definedNames>
    <definedName name="Slicer_Date__Month">#N/A</definedName>
    <definedName name="Slicer_Date__Year">#N/A</definedName>
  </definedNames>
  <calcPr calcId="191029"/>
  <pivotCaches>
    <pivotCache cacheId="2535" r:id="rId4"/>
    <pivotCache cacheId="2538" r:id="rId5"/>
    <pivotCache cacheId="2541" r:id="rId6"/>
    <pivotCache cacheId="2544" r:id="rId7"/>
    <pivotCache cacheId="2547" r:id="rId8"/>
    <pivotCache cacheId="2550" r:id="rId9"/>
    <pivotCache cacheId="2553" r:id="rId10"/>
    <pivotCache cacheId="2556" r:id="rId11"/>
    <pivotCache cacheId="2559" r:id="rId12"/>
    <pivotCache cacheId="2562" r:id="rId13"/>
    <pivotCache cacheId="2565" r:id="rId14"/>
    <pivotCache cacheId="2568"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66728dd4-d2df-49c6-9982-59c19360892c" name="Hospital Emergency Room Data  1" connection="Query - Hospital Emergency Room Data (1)"/>
          <x15:modelTable id="Calendar_08bcf966-bb50-4357-a4f0-cac7e64e469b" name="Calendar" connection="Query - Calendar"/>
        </x15:modelTables>
        <x15:modelRelationships>
          <x15:modelRelationship fromTable="Hospital Emergency Room Data  1" fromColumn="Patient Admission Date" toTable="Calendar" toColumn="Date"/>
        </x15:modelRelationships>
        <x15:extLst>
          <ext xmlns:x16="http://schemas.microsoft.com/office/spreadsheetml/2014/11/main" uri="{9835A34E-60A6-4A7C-AAB8-D5F71C897F49}">
            <x16:modelTimeGroupings>
              <x16:modelTimeGrouping tableName="Calenda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4" i="2" l="1"/>
  <c r="V24" i="2"/>
  <c r="S3" i="2"/>
  <c r="T3" i="2"/>
  <c r="S4" i="2"/>
  <c r="T4" i="2"/>
  <c r="R3" i="2"/>
  <c r="R4" i="2"/>
  <c r="W23" i="2"/>
  <c r="V2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6C06A5-6EED-4FDE-81CA-20A482B926F8}" name="Query - Calendar" description="Connection to the 'Calendar' query in the workbook." type="100" refreshedVersion="8" minRefreshableVersion="5">
    <extLst>
      <ext xmlns:x15="http://schemas.microsoft.com/office/spreadsheetml/2010/11/main" uri="{DE250136-89BD-433C-8126-D09CA5730AF9}">
        <x15:connection id="63053007-e59e-412f-a889-b9c8de318d6a"/>
      </ext>
    </extLst>
  </connection>
  <connection id="2" xr16:uid="{B248ACCF-C23F-4FE4-A4A8-8076324A8117}"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85ec0dfb-a0ff-4a26-aac6-50d67494c805"/>
      </ext>
    </extLst>
  </connection>
  <connection id="3" xr16:uid="{D62288F8-D422-4F54-8EF4-E921D332390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<sst xmlns="http://schemas.openxmlformats.org/spreadsheetml/2006/main" count="153" uniqueCount="70">
  <si>
    <t>Count of Patient Id</t>
  </si>
  <si>
    <t>Row Labels</t>
  </si>
  <si>
    <t>Grand Total</t>
  </si>
  <si>
    <t>Average of Patient Satisfaction Score</t>
  </si>
  <si>
    <t>Average of Patient Waittime</t>
  </si>
  <si>
    <t>Count of Patient Admission Flag</t>
  </si>
  <si>
    <t>Admitted</t>
  </si>
  <si>
    <t>Not Admitted</t>
  </si>
  <si>
    <t>Count of Patient Admission Flag2</t>
  </si>
  <si>
    <t>Admission Status</t>
  </si>
  <si>
    <t xml:space="preserve">No. of Patient </t>
  </si>
  <si>
    <t>% Status</t>
  </si>
  <si>
    <t>0-09</t>
  </si>
  <si>
    <t>10-19</t>
  </si>
  <si>
    <t>20-29</t>
  </si>
  <si>
    <t>30-39</t>
  </si>
  <si>
    <t>40-49</t>
  </si>
  <si>
    <t>50-59</t>
  </si>
  <si>
    <t>60-69</t>
  </si>
  <si>
    <t>70-79</t>
  </si>
  <si>
    <t>Count of Calculated Column 1</t>
  </si>
  <si>
    <t>Delay</t>
  </si>
  <si>
    <t>On Time</t>
  </si>
  <si>
    <t>Count of Calculated Column 2</t>
  </si>
  <si>
    <t>Female</t>
  </si>
  <si>
    <t>Male</t>
  </si>
  <si>
    <t>Count of Patient Gender</t>
  </si>
  <si>
    <t>Actual%</t>
  </si>
  <si>
    <t>Total%</t>
  </si>
  <si>
    <t>Cardiology</t>
  </si>
  <si>
    <t>Gastroenterology</t>
  </si>
  <si>
    <t>General Practice</t>
  </si>
  <si>
    <t>Neurology</t>
  </si>
  <si>
    <t>None</t>
  </si>
  <si>
    <t>Orthopedics</t>
  </si>
  <si>
    <t>Physiotherapy</t>
  </si>
  <si>
    <t>Renal</t>
  </si>
  <si>
    <t>Count of Department Referral</t>
  </si>
  <si>
    <t>2024</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</si>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</sst>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Aptos Narrow"/>
      <family val="2"/>
      <scheme val="minor"/>
    </font>
    <font>
      <sz val="11"/>
      <color theme="1"/>
      <name val="Aptos Narrow"/>
      <family val="2"/>
      <scheme val="minor"/>
    </font>
    <font>
      <b/>
      <sz val="14"/>
      <color theme="1"/>
      <name val="Aptos Narrow"/>
      <family val="2"/>
      <scheme val="minor"/>
    </font>
    <font>
      <sz val="11"/>
      <color rgb="FFCEC5FF"/>
      <name val="Aptos"/>
      <family val="2"/>
    </font>
    <font>
      <sz val="10"/>
      <color theme="1"/>
      <name val="Aptos Narrow"/>
      <family val="2"/>
      <scheme val="minor"/>
    </font>
  </fonts>
  <fills count="5">
    <fill>
      <patternFill patternType="none"/>
    </fill>
    <fill>
      <patternFill patternType="gray125"/>
    </fill>
    <fill>
      <patternFill patternType="solid">
        <fgColor rgb="FF10123A"/>
        <bgColor indexed="64"/>
      </patternFill>
    </fill>
    <fill>
      <patternFill patternType="solid">
        <fgColor rgb="FF181B58"/>
        <bgColor indexed="64"/>
      </patternFill>
    </fill>
    <fill>
      <patternFill patternType="solid">
        <fgColor rgb="FF323687"/>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 fontId="0" fillId="0" borderId="0" xfId="0" applyNumberFormat="1"/>
    <xf numFmtId="10" fontId="0" fillId="0" borderId="0" xfId="0" applyNumberFormat="1"/>
    <xf numFmtId="9" fontId="0" fillId="0" borderId="0" xfId="1" applyFont="1"/>
    <xf numFmtId="9" fontId="0" fillId="0" borderId="0" xfId="0" applyNumberFormat="1"/>
    <xf numFmtId="0" fontId="3" fillId="2" borderId="0" xfId="0" applyFont="1" applyFill="1" applyAlignment="1">
      <alignment horizontal="center" vertical="center"/>
    </xf>
    <xf numFmtId="0" fontId="3" fillId="4" borderId="0" xfId="0" applyFont="1" applyFill="1" applyAlignment="1">
      <alignment horizontal="center" vertical="center"/>
    </xf>
    <xf numFmtId="9" fontId="3" fillId="4" borderId="0" xfId="1" applyFont="1" applyFill="1" applyAlignment="1">
      <alignment horizontal="center" vertical="center"/>
    </xf>
    <xf numFmtId="0" fontId="3" fillId="4" borderId="0" xfId="0" applyFont="1" applyFill="1"/>
    <xf numFmtId="0" fontId="4" fillId="2" borderId="0" xfId="0" applyFont="1" applyFill="1"/>
    <xf numFmtId="0" fontId="0" fillId="2" borderId="0" xfId="0" applyFill="1"/>
    <xf numFmtId="0" fontId="2" fillId="2" borderId="0" xfId="0" applyFont="1" applyFill="1"/>
    <xf numFmtId="0" fontId="0" fillId="2" borderId="0" xfId="0" applyFill="1" applyAlignment="1">
      <alignment horizontal="center" vertical="center"/>
    </xf>
    <xf numFmtId="0" fontId="0" fillId="3" borderId="0" xfId="0" applyFill="1" applyAlignment="1">
      <alignment horizontal="center" vertical="top"/>
    </xf>
    <xf numFmtId="0" fontId="3" fillId="2"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569">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2" formatCode="0.00"/>
    </dxf>
    <dxf>
      <numFmt numFmtId="2" formatCode="0.00"/>
    </dxf>
    <dxf>
      <numFmt numFmtId="164" formatCode="0.0"/>
    </dxf>
    <dxf>
      <numFmt numFmtId="164" formatCode="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2" formatCode="0.00"/>
    </dxf>
    <dxf>
      <numFmt numFmtId="2" formatCode="0.00"/>
    </dxf>
    <dxf>
      <numFmt numFmtId="164" formatCode="0.0"/>
    </dxf>
    <dxf>
      <numFmt numFmtId="164" formatCode="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2" formatCode="0.00"/>
    </dxf>
    <dxf>
      <numFmt numFmtId="2" formatCode="0.00"/>
    </dxf>
    <dxf>
      <numFmt numFmtId="164" formatCode="0.0"/>
    </dxf>
    <dxf>
      <numFmt numFmtId="164" formatCode="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2" formatCode="0.00"/>
    </dxf>
    <dxf>
      <numFmt numFmtId="2" formatCode="0.00"/>
    </dxf>
    <dxf>
      <numFmt numFmtId="164" formatCode="0.0"/>
    </dxf>
    <dxf>
      <numFmt numFmtId="164" formatCode="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2" formatCode="0.00"/>
    </dxf>
    <dxf>
      <numFmt numFmtId="2" formatCode="0.00"/>
    </dxf>
    <dxf>
      <numFmt numFmtId="164" formatCode="0.0"/>
    </dxf>
    <dxf>
      <numFmt numFmtId="164" formatCode="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2" formatCode="0.00"/>
    </dxf>
    <dxf>
      <numFmt numFmtId="2" formatCode="0.00"/>
    </dxf>
    <dxf>
      <numFmt numFmtId="164" formatCode="0.0"/>
    </dxf>
    <dxf>
      <numFmt numFmtId="164" formatCode="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2" formatCode="0.00"/>
    </dxf>
    <dxf>
      <numFmt numFmtId="2" formatCode="0.00"/>
    </dxf>
    <dxf>
      <numFmt numFmtId="164" formatCode="0.0"/>
    </dxf>
    <dxf>
      <numFmt numFmtId="164" formatCode="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2" formatCode="0.00"/>
    </dxf>
    <dxf>
      <numFmt numFmtId="2" formatCode="0.00"/>
    </dxf>
    <dxf>
      <numFmt numFmtId="164" formatCode="0.0"/>
    </dxf>
    <dxf>
      <numFmt numFmtId="164" formatCode="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2" formatCode="0.00"/>
    </dxf>
    <dxf>
      <numFmt numFmtId="2" formatCode="0.00"/>
    </dxf>
    <dxf>
      <numFmt numFmtId="164" formatCode="0.0"/>
    </dxf>
    <dxf>
      <numFmt numFmtId="164" formatCode="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2" formatCode="0.00"/>
    </dxf>
    <dxf>
      <numFmt numFmtId="2" formatCode="0.00"/>
    </dxf>
    <dxf>
      <numFmt numFmtId="164" formatCode="0.0"/>
    </dxf>
    <dxf>
      <numFmt numFmtId="164" formatCode="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2" formatCode="0.00"/>
    </dxf>
    <dxf>
      <numFmt numFmtId="2" formatCode="0.00"/>
    </dxf>
    <dxf>
      <numFmt numFmtId="164" formatCode="0.0"/>
    </dxf>
    <dxf>
      <numFmt numFmtId="164" formatCode="0.0"/>
    </dxf>
    <dxf>
      <numFmt numFmtId="13" formatCode="0%"/>
    </dxf>
    <dxf>
      <numFmt numFmtId="2" formatCode="0.00"/>
    </dxf>
    <dxf>
      <numFmt numFmtId="1" formatCode="0"/>
    </dxf>
    <dxf>
      <numFmt numFmtId="14" formatCode="0.00%"/>
    </dxf>
    <dxf>
      <numFmt numFmtId="2" formatCode="0.00"/>
    </dxf>
    <dxf>
      <numFmt numFmtId="2" formatCode="0.00"/>
    </dxf>
    <dxf>
      <numFmt numFmtId="164" formatCode="0.0"/>
    </dxf>
    <dxf>
      <numFmt numFmtId="164" formatCode="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2" formatCode="0.00"/>
    </dxf>
    <dxf>
      <numFmt numFmtId="2" formatCode="0.00"/>
    </dxf>
    <dxf>
      <numFmt numFmtId="164" formatCode="0.0"/>
    </dxf>
    <dxf>
      <numFmt numFmtId="164" formatCode="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2" formatCode="0.00"/>
    </dxf>
    <dxf>
      <numFmt numFmtId="2" formatCode="0.00"/>
    </dxf>
    <dxf>
      <numFmt numFmtId="164" formatCode="0.0"/>
    </dxf>
    <dxf>
      <numFmt numFmtId="164" formatCode="0.0"/>
    </dxf>
    <dxf>
      <numFmt numFmtId="13" formatCode="0%"/>
    </dxf>
    <dxf>
      <numFmt numFmtId="2" formatCode="0.00"/>
    </dxf>
    <dxf>
      <numFmt numFmtId="1" formatCode="0"/>
    </dxf>
    <dxf>
      <numFmt numFmtId="14" formatCode="0.00%"/>
    </dxf>
    <dxf>
      <numFmt numFmtId="2" formatCode="0.00"/>
    </dxf>
    <dxf>
      <numFmt numFmtId="2" formatCode="0.00"/>
    </dxf>
    <dxf>
      <numFmt numFmtId="164" formatCode="0.0"/>
    </dxf>
    <dxf>
      <numFmt numFmtId="164" formatCode="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2" formatCode="0.00"/>
    </dxf>
    <dxf>
      <numFmt numFmtId="2" formatCode="0.00"/>
    </dxf>
    <dxf>
      <numFmt numFmtId="164" formatCode="0.0"/>
    </dxf>
    <dxf>
      <numFmt numFmtId="164" formatCode="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13" formatCode="0%"/>
    </dxf>
    <dxf>
      <numFmt numFmtId="2" formatCode="0.00"/>
    </dxf>
    <dxf>
      <numFmt numFmtId="1" formatCode="0"/>
    </dxf>
    <dxf>
      <numFmt numFmtId="14" formatCode="0.00%"/>
    </dxf>
    <dxf>
      <numFmt numFmtId="164" formatCode="0.0"/>
    </dxf>
    <dxf>
      <numFmt numFmtId="164" formatCode="0.0"/>
    </dxf>
    <dxf>
      <numFmt numFmtId="2" formatCode="0.00"/>
    </dxf>
    <dxf>
      <numFmt numFmtId="2" formatCode="0.00"/>
    </dxf>
    <dxf>
      <numFmt numFmtId="2" formatCode="0.00"/>
    </dxf>
    <dxf>
      <numFmt numFmtId="164" formatCode="0.0"/>
    </dxf>
    <dxf>
      <numFmt numFmtId="13" formatCode="0%"/>
    </dxf>
    <dxf>
      <numFmt numFmtId="14" formatCode="0.00%"/>
    </dxf>
    <dxf>
      <numFmt numFmtId="1" formatCode="0"/>
    </dxf>
    <dxf>
      <numFmt numFmtId="2" formatCode="0.00"/>
    </dxf>
    <dxf>
      <numFmt numFmtId="2" formatCode="0.00"/>
    </dxf>
    <dxf>
      <numFmt numFmtId="164" formatCode="0.0"/>
    </dxf>
    <dxf>
      <fill>
        <patternFill>
          <bgColor rgb="FF2E327F"/>
        </patternFill>
      </fill>
      <border diagonalUp="0" diagonalDown="0">
        <left/>
        <right/>
        <top/>
        <bottom/>
        <vertical/>
        <horizontal/>
      </border>
    </dxf>
  </dxfs>
  <tableStyles count="1" defaultTableStyle="TableStyleMedium2" defaultPivotStyle="PivotStyleLight16">
    <tableStyle name="Slicer Style 1" pivot="0" table="0" count="3" xr9:uid="{38C03F88-ACF0-4915-8335-1A4FC13E3D15}">
      <tableStyleElement type="wholeTable" dxfId="568"/>
    </tableStyle>
  </tableStyles>
  <colors>
    <mruColors>
      <color rgb="FF000000"/>
      <color rgb="FF10123A"/>
      <color rgb="FF15184B"/>
      <color rgb="FFCEC5FF"/>
      <color rgb="FFD9D1FF"/>
      <color rgb="FFAE72EA"/>
      <color rgb="FFDE7FF1"/>
      <color rgb="FF3B0E6C"/>
      <color rgb="FF9D89FF"/>
      <color rgb="FF323687"/>
    </mruColors>
  </colors>
  <extLst>
    <ext xmlns:x14="http://schemas.microsoft.com/office/spreadsheetml/2009/9/main" uri="{46F421CA-312F-682f-3DD2-61675219B42D}">
      <x14:dxfs count="2">
        <dxf>
          <font>
            <color theme="0"/>
          </font>
          <fill>
            <gradientFill degree="90">
              <stop position="0">
                <color rgb="FF2069F0"/>
              </stop>
              <stop position="1">
                <color rgb="FF9933FF"/>
              </stop>
            </gradientFill>
          </fill>
          <border diagonalUp="0" diagonalDown="0">
            <left/>
            <right/>
            <top/>
            <bottom/>
            <vertical/>
            <horizontal/>
          </border>
        </dxf>
        <dxf>
          <fill>
            <patternFill>
              <bgColor rgb="FF1E205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image" Target="../media/image9.png"/><Relationship Id="rId2" Type="http://schemas.microsoft.com/office/2011/relationships/chartColorStyle" Target="colors7.xml"/><Relationship Id="rId1" Type="http://schemas.microsoft.com/office/2011/relationships/chartStyle" Target="style7.xml"/><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Visit Project.xlsx]Pivot Table!PivotTable11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F65FF"/>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Table'!$E$2</c:f>
              <c:strCache>
                <c:ptCount val="1"/>
                <c:pt idx="0">
                  <c:v>Total</c:v>
                </c:pt>
              </c:strCache>
            </c:strRef>
          </c:tx>
          <c:spPr>
            <a:solidFill>
              <a:srgbClr val="7F65FF"/>
            </a:solidFill>
            <a:ln w="25400">
              <a:noFill/>
            </a:ln>
            <a:effectLst/>
          </c:spPr>
          <c:cat>
            <c:strRef>
              <c:f>'Pivot Table'!$D$3:$D$34</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Table'!$E$3:$E$34</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2-AD10-4D37-B2F2-87694DCDCBBF}"/>
            </c:ext>
          </c:extLst>
        </c:ser>
        <c:dLbls>
          <c:showLegendKey val="0"/>
          <c:showVal val="0"/>
          <c:showCatName val="0"/>
          <c:showSerName val="0"/>
          <c:showPercent val="0"/>
          <c:showBubbleSize val="0"/>
        </c:dLbls>
        <c:axId val="269596336"/>
        <c:axId val="247644816"/>
      </c:areaChart>
      <c:catAx>
        <c:axId val="269596336"/>
        <c:scaling>
          <c:orientation val="minMax"/>
        </c:scaling>
        <c:delete val="1"/>
        <c:axPos val="b"/>
        <c:numFmt formatCode="General" sourceLinked="1"/>
        <c:majorTickMark val="out"/>
        <c:minorTickMark val="none"/>
        <c:tickLblPos val="nextTo"/>
        <c:crossAx val="247644816"/>
        <c:crosses val="autoZero"/>
        <c:auto val="1"/>
        <c:lblAlgn val="ctr"/>
        <c:lblOffset val="100"/>
        <c:noMultiLvlLbl val="0"/>
      </c:catAx>
      <c:valAx>
        <c:axId val="247644816"/>
        <c:scaling>
          <c:orientation val="minMax"/>
        </c:scaling>
        <c:delete val="1"/>
        <c:axPos val="l"/>
        <c:numFmt formatCode="General" sourceLinked="1"/>
        <c:majorTickMark val="none"/>
        <c:minorTickMark val="none"/>
        <c:tickLblPos val="nextTo"/>
        <c:crossAx val="269596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Visit Project.xlsx]Pivot Table!PivotTable12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F65FF"/>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Table'!$H$2</c:f>
              <c:strCache>
                <c:ptCount val="1"/>
                <c:pt idx="0">
                  <c:v>Total</c:v>
                </c:pt>
              </c:strCache>
            </c:strRef>
          </c:tx>
          <c:spPr>
            <a:solidFill>
              <a:srgbClr val="7F65FF"/>
            </a:solidFill>
            <a:ln w="25400">
              <a:noFill/>
            </a:ln>
            <a:effectLst/>
          </c:spPr>
          <c:cat>
            <c:strRef>
              <c:f>'Pivot Table'!$G$3:$G$34</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Table'!$H$3:$H$34</c:f>
              <c:numCache>
                <c:formatCode>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2-0832-4E2E-A2B1-EC93BF1E31FB}"/>
            </c:ext>
          </c:extLst>
        </c:ser>
        <c:dLbls>
          <c:showLegendKey val="0"/>
          <c:showVal val="0"/>
          <c:showCatName val="0"/>
          <c:showSerName val="0"/>
          <c:showPercent val="0"/>
          <c:showBubbleSize val="0"/>
        </c:dLbls>
        <c:axId val="272650688"/>
        <c:axId val="247694256"/>
      </c:areaChart>
      <c:catAx>
        <c:axId val="272650688"/>
        <c:scaling>
          <c:orientation val="minMax"/>
        </c:scaling>
        <c:delete val="1"/>
        <c:axPos val="b"/>
        <c:numFmt formatCode="General" sourceLinked="1"/>
        <c:majorTickMark val="out"/>
        <c:minorTickMark val="none"/>
        <c:tickLblPos val="nextTo"/>
        <c:crossAx val="247694256"/>
        <c:crosses val="autoZero"/>
        <c:auto val="1"/>
        <c:lblAlgn val="ctr"/>
        <c:lblOffset val="100"/>
        <c:noMultiLvlLbl val="0"/>
      </c:catAx>
      <c:valAx>
        <c:axId val="247694256"/>
        <c:scaling>
          <c:orientation val="minMax"/>
        </c:scaling>
        <c:delete val="1"/>
        <c:axPos val="l"/>
        <c:numFmt formatCode="0.0" sourceLinked="1"/>
        <c:majorTickMark val="none"/>
        <c:minorTickMark val="none"/>
        <c:tickLblPos val="nextTo"/>
        <c:crossAx val="2726506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Visit Project.xlsx]Pivot Table!PivotTable13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F65FF"/>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Table'!$L$2</c:f>
              <c:strCache>
                <c:ptCount val="1"/>
                <c:pt idx="0">
                  <c:v>Total</c:v>
                </c:pt>
              </c:strCache>
            </c:strRef>
          </c:tx>
          <c:spPr>
            <a:solidFill>
              <a:srgbClr val="7F65FF"/>
            </a:solidFill>
            <a:ln w="25400">
              <a:noFill/>
            </a:ln>
            <a:effectLst/>
          </c:spPr>
          <c:cat>
            <c:strRef>
              <c:f>'Pivot Table'!$K$3:$K$34</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Table'!$L$3:$L$34</c:f>
              <c:numCache>
                <c:formatCode>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2-FE78-4A17-A66E-CA835ADCB38B}"/>
            </c:ext>
          </c:extLst>
        </c:ser>
        <c:dLbls>
          <c:showLegendKey val="0"/>
          <c:showVal val="0"/>
          <c:showCatName val="0"/>
          <c:showSerName val="0"/>
          <c:showPercent val="0"/>
          <c:showBubbleSize val="0"/>
        </c:dLbls>
        <c:axId val="272700336"/>
        <c:axId val="247668816"/>
      </c:areaChart>
      <c:catAx>
        <c:axId val="272700336"/>
        <c:scaling>
          <c:orientation val="minMax"/>
        </c:scaling>
        <c:delete val="1"/>
        <c:axPos val="b"/>
        <c:numFmt formatCode="General" sourceLinked="1"/>
        <c:majorTickMark val="out"/>
        <c:minorTickMark val="none"/>
        <c:tickLblPos val="nextTo"/>
        <c:crossAx val="247668816"/>
        <c:crosses val="autoZero"/>
        <c:auto val="1"/>
        <c:lblAlgn val="ctr"/>
        <c:lblOffset val="100"/>
        <c:noMultiLvlLbl val="0"/>
      </c:catAx>
      <c:valAx>
        <c:axId val="247668816"/>
        <c:scaling>
          <c:orientation val="minMax"/>
        </c:scaling>
        <c:delete val="1"/>
        <c:axPos val="l"/>
        <c:numFmt formatCode="0.0" sourceLinked="1"/>
        <c:majorTickMark val="none"/>
        <c:minorTickMark val="none"/>
        <c:tickLblPos val="nextTo"/>
        <c:crossAx val="272700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Visit Project.xlsx]Pivot Table!PivotTable8</c:name>
    <c:fmtId val="7"/>
  </c:pivotSource>
  <c:chart>
    <c:title>
      <c:tx>
        <c:rich>
          <a:bodyPr rot="0" spcFirstLastPara="1" vertOverflow="ellipsis" vert="horz" wrap="square" anchor="ctr" anchorCtr="1"/>
          <a:lstStyle/>
          <a:p>
            <a:pPr>
              <a:defRPr sz="1800" b="1" i="0" u="none" strike="noStrike" kern="1200" spc="0" baseline="0">
                <a:solidFill>
                  <a:srgbClr val="CEC5FF"/>
                </a:solidFill>
                <a:latin typeface="Aptos" panose="020B0004020202020204" pitchFamily="34" charset="0"/>
                <a:ea typeface="+mn-ea"/>
                <a:cs typeface="+mn-cs"/>
              </a:defRPr>
            </a:pPr>
            <a:r>
              <a:rPr lang="en-US" sz="1800" b="1">
                <a:solidFill>
                  <a:srgbClr val="CEC5FF"/>
                </a:solidFill>
                <a:latin typeface="Aptos" panose="020B0004020202020204" pitchFamily="34" charset="0"/>
              </a:rPr>
              <a:t>Age Group</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CEC5FF"/>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3000">
                <a:srgbClr val="374AEC"/>
              </a:gs>
              <a:gs pos="42000">
                <a:srgbClr val="7C93FD"/>
              </a:gs>
              <a:gs pos="88000">
                <a:srgbClr val="1B239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EC5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Table'!$O$17</c:f>
              <c:strCache>
                <c:ptCount val="1"/>
                <c:pt idx="0">
                  <c:v>Total</c:v>
                </c:pt>
              </c:strCache>
            </c:strRef>
          </c:tx>
          <c:spPr>
            <a:gradFill>
              <a:gsLst>
                <a:gs pos="13000">
                  <a:srgbClr val="374AEC"/>
                </a:gs>
                <a:gs pos="42000">
                  <a:srgbClr val="7C93FD"/>
                </a:gs>
                <a:gs pos="88000">
                  <a:srgbClr val="1B2399"/>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EC5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Table'!$N$18:$N$26</c:f>
              <c:strCache>
                <c:ptCount val="8"/>
                <c:pt idx="0">
                  <c:v>0-09</c:v>
                </c:pt>
                <c:pt idx="1">
                  <c:v>10-19</c:v>
                </c:pt>
                <c:pt idx="2">
                  <c:v>20-29</c:v>
                </c:pt>
                <c:pt idx="3">
                  <c:v>30-39</c:v>
                </c:pt>
                <c:pt idx="4">
                  <c:v>40-49</c:v>
                </c:pt>
                <c:pt idx="5">
                  <c:v>50-59</c:v>
                </c:pt>
                <c:pt idx="6">
                  <c:v>60-69</c:v>
                </c:pt>
                <c:pt idx="7">
                  <c:v>70-79</c:v>
                </c:pt>
              </c:strCache>
            </c:strRef>
          </c:cat>
          <c:val>
            <c:numRef>
              <c:f>'Pivot Table'!$O$18:$O$26</c:f>
              <c:numCache>
                <c:formatCode>General</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2-2626-49B5-8CF2-CFD6B07C079D}"/>
            </c:ext>
          </c:extLst>
        </c:ser>
        <c:dLbls>
          <c:dLblPos val="outEnd"/>
          <c:showLegendKey val="0"/>
          <c:showVal val="1"/>
          <c:showCatName val="0"/>
          <c:showSerName val="0"/>
          <c:showPercent val="0"/>
          <c:showBubbleSize val="0"/>
        </c:dLbls>
        <c:gapWidth val="219"/>
        <c:overlap val="-27"/>
        <c:axId val="1600439391"/>
        <c:axId val="1538568751"/>
      </c:barChart>
      <c:catAx>
        <c:axId val="160043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7C93FD"/>
                </a:solidFill>
                <a:latin typeface="+mn-lt"/>
                <a:ea typeface="+mn-ea"/>
                <a:cs typeface="+mn-cs"/>
              </a:defRPr>
            </a:pPr>
            <a:endParaRPr lang="en-US"/>
          </a:p>
        </c:txPr>
        <c:crossAx val="1538568751"/>
        <c:crosses val="autoZero"/>
        <c:auto val="1"/>
        <c:lblAlgn val="ctr"/>
        <c:lblOffset val="100"/>
        <c:noMultiLvlLbl val="0"/>
      </c:catAx>
      <c:valAx>
        <c:axId val="1538568751"/>
        <c:scaling>
          <c:orientation val="minMax"/>
        </c:scaling>
        <c:delete val="1"/>
        <c:axPos val="l"/>
        <c:numFmt formatCode="General" sourceLinked="1"/>
        <c:majorTickMark val="none"/>
        <c:minorTickMark val="none"/>
        <c:tickLblPos val="nextTo"/>
        <c:crossAx val="160043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Visit Project.xlsx]Pivot Table!PivotTable10</c:name>
    <c:fmtId val="11"/>
  </c:pivotSource>
  <c:chart>
    <c:title>
      <c:tx>
        <c:rich>
          <a:bodyPr rot="0" spcFirstLastPara="1" vertOverflow="ellipsis" vert="horz" wrap="square" anchor="ctr" anchorCtr="1"/>
          <a:lstStyle/>
          <a:p>
            <a:pPr>
              <a:defRPr sz="1600" b="0" i="0" u="none" strike="noStrike" kern="1200" spc="0" baseline="0">
                <a:solidFill>
                  <a:schemeClr val="tx2">
                    <a:lumMod val="25000"/>
                    <a:lumOff val="75000"/>
                  </a:schemeClr>
                </a:solidFill>
                <a:latin typeface="Arial" panose="020B0604020202020204" pitchFamily="34" charset="0"/>
                <a:ea typeface="+mn-ea"/>
                <a:cs typeface="Arial" panose="020B0604020202020204" pitchFamily="34" charset="0"/>
              </a:defRPr>
            </a:pPr>
            <a:r>
              <a:rPr lang="en-US" sz="1600">
                <a:solidFill>
                  <a:schemeClr val="tx2">
                    <a:lumMod val="25000"/>
                    <a:lumOff val="75000"/>
                  </a:schemeClr>
                </a:solidFill>
                <a:latin typeface="Arial" panose="020B0604020202020204" pitchFamily="34" charset="0"/>
                <a:cs typeface="Arial" panose="020B0604020202020204" pitchFamily="34" charset="0"/>
              </a:rPr>
              <a:t>Patient Attended</a:t>
            </a:r>
            <a:r>
              <a:rPr lang="en-US" sz="1600" baseline="0">
                <a:solidFill>
                  <a:schemeClr val="tx2">
                    <a:lumMod val="25000"/>
                    <a:lumOff val="75000"/>
                  </a:schemeClr>
                </a:solidFill>
                <a:latin typeface="Arial" panose="020B0604020202020204" pitchFamily="34" charset="0"/>
                <a:cs typeface="Arial" panose="020B0604020202020204" pitchFamily="34" charset="0"/>
              </a:rPr>
              <a:t> Status</a:t>
            </a:r>
            <a:endParaRPr lang="en-US" sz="1600">
              <a:solidFill>
                <a:schemeClr val="tx2">
                  <a:lumMod val="25000"/>
                  <a:lumOff val="75000"/>
                </a:schemeClr>
              </a:solidFill>
              <a:latin typeface="Arial" panose="020B0604020202020204" pitchFamily="34" charset="0"/>
              <a:cs typeface="Arial" panose="020B0604020202020204" pitchFamily="34" charset="0"/>
            </a:endParaRPr>
          </a:p>
        </c:rich>
      </c:tx>
      <c:layout>
        <c:manualLayout>
          <c:xMode val="edge"/>
          <c:yMode val="edge"/>
          <c:x val="0.26320517099397772"/>
          <c:y val="7.46798041609116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2">
                  <a:lumMod val="25000"/>
                  <a:lumOff val="7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a:scene3d>
            <a:camera prst="orthographicFront"/>
            <a:lightRig rig="threePt" dir="t"/>
          </a:scene3d>
          <a:sp3d>
            <a:bevelT w="1778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threePt" dir="t"/>
          </a:scene3d>
          <a:sp3d>
            <a:bevelT w="1778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cene3d>
            <a:camera prst="orthographicFront"/>
            <a:lightRig rig="threePt" dir="t"/>
          </a:scene3d>
          <a:sp3d>
            <a:bevelT w="177800" prst="coolSlant"/>
          </a:sp3d>
        </c:spPr>
      </c:pivotFmt>
      <c:pivotFmt>
        <c:idx val="3"/>
        <c:spPr>
          <a:solidFill>
            <a:schemeClr val="accent1"/>
          </a:solidFill>
          <a:ln w="19050">
            <a:solidFill>
              <a:schemeClr val="lt1"/>
            </a:solidFill>
          </a:ln>
          <a:effectLst/>
          <a:scene3d>
            <a:camera prst="orthographicFront"/>
            <a:lightRig rig="threePt" dir="t"/>
          </a:scene3d>
          <a:sp3d>
            <a:bevelT w="177800" prst="coolSlant"/>
          </a:sp3d>
        </c:spPr>
      </c:pivotFmt>
      <c:pivotFmt>
        <c:idx val="4"/>
        <c:spPr>
          <a:solidFill>
            <a:schemeClr val="accent1"/>
          </a:solidFill>
          <a:ln w="19050">
            <a:solidFill>
              <a:schemeClr val="lt1"/>
            </a:solidFill>
          </a:ln>
          <a:effectLst/>
          <a:scene3d>
            <a:camera prst="orthographicFront"/>
            <a:lightRig rig="threePt" dir="t"/>
          </a:scene3d>
          <a:sp3d>
            <a:bevelT w="1778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CEC5F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a:gsLst>
              <a:gs pos="0">
                <a:srgbClr val="808AEC"/>
              </a:gs>
              <a:gs pos="100000">
                <a:srgbClr val="4A59E4"/>
              </a:gs>
            </a:gsLst>
            <a:lin ang="5400000" scaled="1"/>
          </a:gradFill>
          <a:ln w="19050">
            <a:solidFill>
              <a:schemeClr val="lt1"/>
            </a:solidFill>
          </a:ln>
          <a:effectLst/>
          <a:scene3d>
            <a:camera prst="orthographicFront"/>
            <a:lightRig rig="threePt" dir="t"/>
          </a:scene3d>
          <a:sp3d>
            <a:bevelT w="177800" prst="coolSlant"/>
          </a:sp3d>
        </c:spPr>
      </c:pivotFmt>
      <c:pivotFmt>
        <c:idx val="6"/>
        <c:spPr>
          <a:gradFill>
            <a:gsLst>
              <a:gs pos="8000">
                <a:srgbClr val="FF00FF">
                  <a:alpha val="34000"/>
                </a:srgbClr>
              </a:gs>
              <a:gs pos="38000">
                <a:srgbClr val="760076"/>
              </a:gs>
            </a:gsLst>
            <a:lin ang="5400000" scaled="1"/>
          </a:gradFill>
          <a:ln w="19050">
            <a:solidFill>
              <a:schemeClr val="lt1"/>
            </a:solidFill>
          </a:ln>
          <a:effectLst/>
          <a:scene3d>
            <a:camera prst="orthographicFront"/>
            <a:lightRig rig="threePt" dir="t"/>
          </a:scene3d>
          <a:sp3d>
            <a:bevelT w="177800" prst="coolSlant"/>
          </a:sp3d>
        </c:spPr>
      </c:pivotFmt>
    </c:pivotFmts>
    <c:plotArea>
      <c:layout>
        <c:manualLayout>
          <c:layoutTarget val="inner"/>
          <c:xMode val="edge"/>
          <c:yMode val="edge"/>
          <c:x val="0.32156475070020163"/>
          <c:y val="0.20342793424696953"/>
          <c:w val="0.49820294230618806"/>
          <c:h val="0.68219808240311097"/>
        </c:manualLayout>
      </c:layout>
      <c:doughnutChart>
        <c:varyColors val="1"/>
        <c:ser>
          <c:idx val="0"/>
          <c:order val="0"/>
          <c:tx>
            <c:strRef>
              <c:f>'Pivot Table'!$R$17</c:f>
              <c:strCache>
                <c:ptCount val="1"/>
                <c:pt idx="0">
                  <c:v>Total</c:v>
                </c:pt>
              </c:strCache>
            </c:strRef>
          </c:tx>
          <c:spPr>
            <a:scene3d>
              <a:camera prst="orthographicFront"/>
              <a:lightRig rig="threePt" dir="t"/>
            </a:scene3d>
            <a:sp3d>
              <a:bevelT w="177800" prst="coolSlant"/>
            </a:sp3d>
          </c:spPr>
          <c:dPt>
            <c:idx val="0"/>
            <c:bubble3D val="0"/>
            <c:spPr>
              <a:gradFill>
                <a:gsLst>
                  <a:gs pos="0">
                    <a:srgbClr val="808AEC"/>
                  </a:gs>
                  <a:gs pos="100000">
                    <a:srgbClr val="4A59E4"/>
                  </a:gs>
                </a:gsLst>
                <a:lin ang="5400000" scaled="1"/>
              </a:gradFill>
              <a:ln w="19050">
                <a:solidFill>
                  <a:schemeClr val="lt1"/>
                </a:solidFill>
              </a:ln>
              <a:effectLst/>
              <a:scene3d>
                <a:camera prst="orthographicFront"/>
                <a:lightRig rig="threePt" dir="t"/>
              </a:scene3d>
              <a:sp3d>
                <a:bevelT w="177800" prst="coolSlant"/>
              </a:sp3d>
            </c:spPr>
          </c:dPt>
          <c:dPt>
            <c:idx val="1"/>
            <c:bubble3D val="0"/>
            <c:spPr>
              <a:gradFill>
                <a:gsLst>
                  <a:gs pos="8000">
                    <a:srgbClr val="FF00FF">
                      <a:alpha val="34000"/>
                    </a:srgbClr>
                  </a:gs>
                  <a:gs pos="38000">
                    <a:srgbClr val="760076"/>
                  </a:gs>
                </a:gsLst>
                <a:lin ang="5400000" scaled="1"/>
              </a:gradFill>
              <a:ln w="19050">
                <a:solidFill>
                  <a:schemeClr val="lt1"/>
                </a:solidFill>
              </a:ln>
              <a:effectLst/>
              <a:scene3d>
                <a:camera prst="orthographicFront"/>
                <a:lightRig rig="threePt" dir="t"/>
              </a:scene3d>
              <a:sp3d>
                <a:bevelT w="177800" prst="coolSlant"/>
              </a:sp3d>
            </c:spPr>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CEC5FF"/>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Table'!$Q$18:$Q$20</c:f>
              <c:strCache>
                <c:ptCount val="2"/>
                <c:pt idx="0">
                  <c:v>Delay</c:v>
                </c:pt>
                <c:pt idx="1">
                  <c:v>On Time</c:v>
                </c:pt>
              </c:strCache>
            </c:strRef>
          </c:cat>
          <c:val>
            <c:numRef>
              <c:f>'Pivot Table'!$R$18:$R$20</c:f>
              <c:numCache>
                <c:formatCode>General</c:formatCode>
                <c:ptCount val="2"/>
                <c:pt idx="0">
                  <c:v>288</c:v>
                </c:pt>
                <c:pt idx="1">
                  <c:v>200</c:v>
                </c:pt>
              </c:numCache>
            </c:numRef>
          </c:val>
          <c:extLst>
            <c:ext xmlns:c16="http://schemas.microsoft.com/office/drawing/2014/chart" uri="{C3380CC4-5D6E-409C-BE32-E72D297353CC}">
              <c16:uniqueId val="{00000006-EEDA-45DC-8894-67B3FF7D4238}"/>
            </c:ext>
          </c:extLst>
        </c:ser>
        <c:dLbls>
          <c:showLegendKey val="0"/>
          <c:showVal val="1"/>
          <c:showCatName val="0"/>
          <c:showSerName val="0"/>
          <c:showPercent val="0"/>
          <c:showBubbleSize val="0"/>
          <c:showLeaderLines val="1"/>
        </c:dLbls>
        <c:firstSliceAng val="0"/>
        <c:holeSize val="38"/>
      </c:doughnutChart>
      <c:spPr>
        <a:noFill/>
        <a:ln>
          <a:noFill/>
        </a:ln>
        <a:effectLst/>
      </c:spPr>
    </c:plotArea>
    <c:legend>
      <c:legendPos val="b"/>
      <c:layout>
        <c:manualLayout>
          <c:xMode val="edge"/>
          <c:yMode val="edge"/>
          <c:x val="0.38357640795803782"/>
          <c:y val="0.89892542341391102"/>
          <c:w val="0.49167603982551045"/>
          <c:h val="0.1010744286439237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2">
                  <a:lumMod val="25000"/>
                  <a:lumOff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Visit Project.xlsx]Pivot Table!PivotTable16</c:name>
    <c:fmtId val="17"/>
  </c:pivotSource>
  <c:chart>
    <c:title>
      <c:tx>
        <c:rich>
          <a:bodyPr rot="0" spcFirstLastPara="1" vertOverflow="ellipsis" vert="horz" wrap="square" anchor="ctr" anchorCtr="1"/>
          <a:lstStyle/>
          <a:p>
            <a:pPr>
              <a:defRPr sz="1800" b="1" i="0" u="none" strike="noStrike" kern="1200" spc="0" baseline="0">
                <a:solidFill>
                  <a:srgbClr val="CEC5FF"/>
                </a:solidFill>
                <a:latin typeface="+mn-lt"/>
                <a:ea typeface="+mn-ea"/>
                <a:cs typeface="+mn-cs"/>
              </a:defRPr>
            </a:pPr>
            <a:r>
              <a:rPr lang="en-US" sz="1800" b="1">
                <a:solidFill>
                  <a:srgbClr val="CEC5FF"/>
                </a:solidFill>
              </a:rPr>
              <a:t>No.</a:t>
            </a:r>
            <a:r>
              <a:rPr lang="en-US" sz="1800" b="1" baseline="0">
                <a:solidFill>
                  <a:srgbClr val="CEC5FF"/>
                </a:solidFill>
              </a:rPr>
              <a:t> of Patient by Department Refferal</a:t>
            </a:r>
            <a:endParaRPr lang="en-US" sz="1800" b="1">
              <a:solidFill>
                <a:srgbClr val="CEC5FF"/>
              </a:solidFill>
            </a:endParaRPr>
          </a:p>
        </c:rich>
      </c:tx>
      <c:layout>
        <c:manualLayout>
          <c:xMode val="edge"/>
          <c:yMode val="edge"/>
          <c:x val="0.17650446695633154"/>
          <c:y val="5.6565658365248022E-3"/>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CEC5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9D89FF"/>
              </a:gs>
              <a:gs pos="58000">
                <a:srgbClr val="7030A0"/>
              </a:gs>
            </a:gsLst>
            <a:lin ang="90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CEC5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Table'!$Y$2</c:f>
              <c:strCache>
                <c:ptCount val="1"/>
                <c:pt idx="0">
                  <c:v>Total</c:v>
                </c:pt>
              </c:strCache>
            </c:strRef>
          </c:tx>
          <c:spPr>
            <a:gradFill>
              <a:gsLst>
                <a:gs pos="0">
                  <a:srgbClr val="9D89FF"/>
                </a:gs>
                <a:gs pos="58000">
                  <a:srgbClr val="7030A0"/>
                </a:gs>
              </a:gsLst>
              <a:lin ang="90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CEC5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Table'!$X$3:$X$11</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Table'!$Y$3:$Y$11</c:f>
              <c:numCache>
                <c:formatCode>General</c:formatCode>
                <c:ptCount val="8"/>
                <c:pt idx="0">
                  <c:v>11</c:v>
                </c:pt>
                <c:pt idx="1">
                  <c:v>11</c:v>
                </c:pt>
                <c:pt idx="2">
                  <c:v>93</c:v>
                </c:pt>
                <c:pt idx="3">
                  <c:v>7</c:v>
                </c:pt>
                <c:pt idx="4">
                  <c:v>290</c:v>
                </c:pt>
                <c:pt idx="5">
                  <c:v>60</c:v>
                </c:pt>
                <c:pt idx="6">
                  <c:v>12</c:v>
                </c:pt>
                <c:pt idx="7">
                  <c:v>4</c:v>
                </c:pt>
              </c:numCache>
            </c:numRef>
          </c:val>
          <c:extLst>
            <c:ext xmlns:c16="http://schemas.microsoft.com/office/drawing/2014/chart" uri="{C3380CC4-5D6E-409C-BE32-E72D297353CC}">
              <c16:uniqueId val="{00000002-B71F-442E-8A28-BA3D045B78C7}"/>
            </c:ext>
          </c:extLst>
        </c:ser>
        <c:dLbls>
          <c:dLblPos val="outEnd"/>
          <c:showLegendKey val="0"/>
          <c:showVal val="1"/>
          <c:showCatName val="0"/>
          <c:showSerName val="0"/>
          <c:showPercent val="0"/>
          <c:showBubbleSize val="0"/>
        </c:dLbls>
        <c:gapWidth val="182"/>
        <c:axId val="833306751"/>
        <c:axId val="712295663"/>
      </c:barChart>
      <c:catAx>
        <c:axId val="83330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CEC5FF"/>
                </a:solidFill>
                <a:latin typeface="+mn-lt"/>
                <a:ea typeface="+mn-ea"/>
                <a:cs typeface="+mn-cs"/>
              </a:defRPr>
            </a:pPr>
            <a:endParaRPr lang="en-US"/>
          </a:p>
        </c:txPr>
        <c:crossAx val="712295663"/>
        <c:crosses val="autoZero"/>
        <c:auto val="1"/>
        <c:lblAlgn val="ctr"/>
        <c:lblOffset val="100"/>
        <c:noMultiLvlLbl val="0"/>
      </c:catAx>
      <c:valAx>
        <c:axId val="712295663"/>
        <c:scaling>
          <c:orientation val="minMax"/>
        </c:scaling>
        <c:delete val="1"/>
        <c:axPos val="b"/>
        <c:numFmt formatCode="General" sourceLinked="1"/>
        <c:majorTickMark val="none"/>
        <c:minorTickMark val="none"/>
        <c:tickLblPos val="nextTo"/>
        <c:crossAx val="83330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D9D1FF"/>
                </a:solidFill>
                <a:latin typeface="+mn-lt"/>
                <a:ea typeface="+mn-ea"/>
                <a:cs typeface="+mn-cs"/>
              </a:defRPr>
            </a:pPr>
            <a:r>
              <a:rPr lang="en-US" sz="1800">
                <a:solidFill>
                  <a:srgbClr val="D9D1FF"/>
                </a:solidFill>
              </a:rPr>
              <a:t> Gender</a:t>
            </a:r>
            <a:r>
              <a:rPr lang="en-US" sz="1800" baseline="0">
                <a:solidFill>
                  <a:srgbClr val="D9D1FF"/>
                </a:solidFill>
              </a:rPr>
              <a:t> Wise Analyse</a:t>
            </a:r>
            <a:endParaRPr lang="en-US" sz="1800">
              <a:solidFill>
                <a:srgbClr val="D9D1FF"/>
              </a:solidFill>
            </a:endParaRPr>
          </a:p>
        </c:rich>
      </c:tx>
      <c:layout>
        <c:manualLayout>
          <c:xMode val="edge"/>
          <c:yMode val="edge"/>
          <c:x val="0.21560777435194184"/>
          <c:y val="0.10733331643044886"/>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D9D1FF"/>
              </a:solidFill>
              <a:latin typeface="+mn-lt"/>
              <a:ea typeface="+mn-ea"/>
              <a:cs typeface="+mn-cs"/>
            </a:defRPr>
          </a:pPr>
          <a:endParaRPr lang="en-US"/>
        </a:p>
      </c:txPr>
    </c:title>
    <c:autoTitleDeleted val="0"/>
    <c:plotArea>
      <c:layout/>
      <c:barChart>
        <c:barDir val="col"/>
        <c:grouping val="clustered"/>
        <c:varyColors val="0"/>
        <c:ser>
          <c:idx val="0"/>
          <c:order val="0"/>
          <c:tx>
            <c:strRef>
              <c:f>'Pivot Table'!$U$23</c:f>
              <c:strCache>
                <c:ptCount val="1"/>
                <c:pt idx="0">
                  <c:v>Actual%</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pictureOptions>
              <c:pictureFormat val="stackScale"/>
            </c:pictureOptions>
            <c:extLst>
              <c:ext xmlns:c16="http://schemas.microsoft.com/office/drawing/2014/chart" uri="{C3380CC4-5D6E-409C-BE32-E72D297353CC}">
                <c16:uniqueId val="{00000001-6AF2-4E4F-AAFA-387E29550849}"/>
              </c:ext>
            </c:extLst>
          </c:dPt>
          <c:dPt>
            <c:idx val="1"/>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3-6AF2-4E4F-AAFA-387E29550849}"/>
              </c:ext>
            </c:extLst>
          </c:dPt>
          <c:dLbls>
            <c:dLbl>
              <c:idx val="0"/>
              <c:layout>
                <c:manualLayout>
                  <c:x val="-3.2902907037761519E-17"/>
                  <c:y val="5.016477350604762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F2-4E4F-AAFA-387E29550849}"/>
                </c:ext>
              </c:extLst>
            </c:dLbl>
            <c:dLbl>
              <c:idx val="1"/>
              <c:layout>
                <c:manualLayout>
                  <c:x val="1.0768348516893032E-2"/>
                  <c:y val="-5.016477350604762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F2-4E4F-AAFA-387E2955084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D9D1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poly"/>
            <c:order val="2"/>
            <c:dispRSqr val="0"/>
            <c:dispEq val="0"/>
          </c:trendline>
          <c:cat>
            <c:strRef>
              <c:f>'Pivot Table'!$V$22:$W$22</c:f>
              <c:strCache>
                <c:ptCount val="2"/>
                <c:pt idx="0">
                  <c:v>Male</c:v>
                </c:pt>
                <c:pt idx="1">
                  <c:v>Female</c:v>
                </c:pt>
              </c:strCache>
            </c:strRef>
          </c:cat>
          <c:val>
            <c:numRef>
              <c:f>'Pivot Table'!$V$23:$W$23</c:f>
              <c:numCache>
                <c:formatCode>0%</c:formatCode>
                <c:ptCount val="2"/>
                <c:pt idx="0">
                  <c:v>0.52459016393442626</c:v>
                </c:pt>
                <c:pt idx="1">
                  <c:v>0.47540983606557374</c:v>
                </c:pt>
              </c:numCache>
            </c:numRef>
          </c:val>
          <c:extLst>
            <c:ext xmlns:c16="http://schemas.microsoft.com/office/drawing/2014/chart" uri="{C3380CC4-5D6E-409C-BE32-E72D297353CC}">
              <c16:uniqueId val="{00000004-6AF2-4E4F-AAFA-387E29550849}"/>
            </c:ext>
          </c:extLst>
        </c:ser>
        <c:ser>
          <c:idx val="1"/>
          <c:order val="1"/>
          <c:tx>
            <c:strRef>
              <c:f>'Pivot Table'!$U$24</c:f>
              <c:strCache>
                <c:ptCount val="1"/>
                <c:pt idx="0">
                  <c:v>Total%</c:v>
                </c:pt>
              </c:strCache>
            </c:strRef>
          </c:tx>
          <c:spPr>
            <a:solidFill>
              <a:schemeClr val="accent2"/>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pictureOptions>
              <c:pictureFormat val="stackScale"/>
            </c:pictureOptions>
            <c:extLst>
              <c:ext xmlns:c16="http://schemas.microsoft.com/office/drawing/2014/chart" uri="{C3380CC4-5D6E-409C-BE32-E72D297353CC}">
                <c16:uniqueId val="{00000006-6AF2-4E4F-AAFA-387E29550849}"/>
              </c:ext>
            </c:extLst>
          </c:dPt>
          <c:dPt>
            <c:idx val="1"/>
            <c:invertIfNegative val="0"/>
            <c:bubble3D val="0"/>
            <c:spPr>
              <a:blipFill>
                <a:blip xmlns:r="http://schemas.openxmlformats.org/officeDocument/2006/relationships" r:embed="rId6"/>
                <a:stretch>
                  <a:fillRect/>
                </a:stretch>
              </a:blipFill>
              <a:ln>
                <a:noFill/>
              </a:ln>
              <a:effectLst/>
            </c:spPr>
            <c:pictureOptions>
              <c:pictureFormat val="stackScale"/>
            </c:pictureOptions>
            <c:extLst>
              <c:ext xmlns:c16="http://schemas.microsoft.com/office/drawing/2014/chart" uri="{C3380CC4-5D6E-409C-BE32-E72D297353CC}">
                <c16:uniqueId val="{00000008-6AF2-4E4F-AAFA-387E29550849}"/>
              </c:ext>
            </c:extLst>
          </c:dPt>
          <c:dLbls>
            <c:delete val="1"/>
          </c:dLbls>
          <c:cat>
            <c:strRef>
              <c:f>'Pivot Table'!$V$22:$W$22</c:f>
              <c:strCache>
                <c:ptCount val="2"/>
                <c:pt idx="0">
                  <c:v>Male</c:v>
                </c:pt>
                <c:pt idx="1">
                  <c:v>Female</c:v>
                </c:pt>
              </c:strCache>
            </c:strRef>
          </c:cat>
          <c:val>
            <c:numRef>
              <c:f>'Pivot Table'!$V$24:$W$24</c:f>
              <c:numCache>
                <c:formatCode>0%</c:formatCode>
                <c:ptCount val="2"/>
                <c:pt idx="0">
                  <c:v>1</c:v>
                </c:pt>
                <c:pt idx="1">
                  <c:v>1</c:v>
                </c:pt>
              </c:numCache>
            </c:numRef>
          </c:val>
          <c:extLst>
            <c:ext xmlns:c16="http://schemas.microsoft.com/office/drawing/2014/chart" uri="{C3380CC4-5D6E-409C-BE32-E72D297353CC}">
              <c16:uniqueId val="{00000009-6AF2-4E4F-AAFA-387E29550849}"/>
            </c:ext>
          </c:extLst>
        </c:ser>
        <c:dLbls>
          <c:dLblPos val="outEnd"/>
          <c:showLegendKey val="0"/>
          <c:showVal val="1"/>
          <c:showCatName val="0"/>
          <c:showSerName val="0"/>
          <c:showPercent val="0"/>
          <c:showBubbleSize val="0"/>
        </c:dLbls>
        <c:gapWidth val="12"/>
        <c:overlap val="100"/>
        <c:axId val="1753818064"/>
        <c:axId val="1291705712"/>
      </c:barChart>
      <c:catAx>
        <c:axId val="1753818064"/>
        <c:scaling>
          <c:orientation val="minMax"/>
        </c:scaling>
        <c:delete val="1"/>
        <c:axPos val="b"/>
        <c:title>
          <c:tx>
            <c:rich>
              <a:bodyPr rot="0" spcFirstLastPara="1" vertOverflow="ellipsis" vert="horz" wrap="square" anchor="ctr" anchorCtr="1"/>
              <a:lstStyle/>
              <a:p>
                <a:pPr>
                  <a:defRPr sz="1100" b="0" i="0" u="none" strike="noStrike" kern="1200" baseline="0">
                    <a:solidFill>
                      <a:srgbClr val="CEC5FF"/>
                    </a:solidFill>
                    <a:latin typeface="+mn-lt"/>
                    <a:ea typeface="+mn-ea"/>
                    <a:cs typeface="+mn-cs"/>
                  </a:defRPr>
                </a:pPr>
                <a:r>
                  <a:rPr lang="en-US" sz="1100">
                    <a:solidFill>
                      <a:srgbClr val="CEC5FF"/>
                    </a:solidFill>
                  </a:rPr>
                  <a:t>Male</a:t>
                </a:r>
              </a:p>
            </c:rich>
          </c:tx>
          <c:layout>
            <c:manualLayout>
              <c:xMode val="edge"/>
              <c:yMode val="edge"/>
              <c:x val="0.22212126853533631"/>
              <c:y val="0.88435942008922341"/>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CEC5FF"/>
                  </a:solidFill>
                  <a:latin typeface="+mn-lt"/>
                  <a:ea typeface="+mn-ea"/>
                  <a:cs typeface="+mn-cs"/>
                </a:defRPr>
              </a:pPr>
              <a:endParaRPr lang="en-US"/>
            </a:p>
          </c:txPr>
        </c:title>
        <c:numFmt formatCode="General" sourceLinked="1"/>
        <c:majorTickMark val="out"/>
        <c:minorTickMark val="none"/>
        <c:tickLblPos val="nextTo"/>
        <c:crossAx val="1291705712"/>
        <c:crosses val="autoZero"/>
        <c:auto val="1"/>
        <c:lblAlgn val="ctr"/>
        <c:lblOffset val="100"/>
        <c:noMultiLvlLbl val="0"/>
      </c:catAx>
      <c:valAx>
        <c:axId val="1291705712"/>
        <c:scaling>
          <c:orientation val="minMax"/>
        </c:scaling>
        <c:delete val="1"/>
        <c:axPos val="l"/>
        <c:numFmt formatCode="0%" sourceLinked="1"/>
        <c:majorTickMark val="out"/>
        <c:minorTickMark val="none"/>
        <c:tickLblPos val="nextTo"/>
        <c:crossAx val="175381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Visit Project.xlsx]Pivot Table!PivotTable11</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No. of Patient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Table'!$D$3:$D$34</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Table'!$E$3:$E$34</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2-B752-4A20-9219-5A6F049A548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69596336"/>
        <c:axId val="247644816"/>
      </c:areaChart>
      <c:catAx>
        <c:axId val="2695963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247644816"/>
        <c:crosses val="autoZero"/>
        <c:auto val="1"/>
        <c:lblAlgn val="ctr"/>
        <c:lblOffset val="100"/>
        <c:noMultiLvlLbl val="0"/>
      </c:catAx>
      <c:valAx>
        <c:axId val="247644816"/>
        <c:scaling>
          <c:orientation val="minMax"/>
        </c:scaling>
        <c:delete val="1"/>
        <c:axPos val="l"/>
        <c:numFmt formatCode="General" sourceLinked="1"/>
        <c:majorTickMark val="out"/>
        <c:minorTickMark val="none"/>
        <c:tickLblPos val="nextTo"/>
        <c:crossAx val="269596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0123A"/>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Visit Project.xlsx]Pivot Table!PivotTable12</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Patient Average Wait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Table'!$G$3:$G$34</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Table'!$H$3:$H$34</c:f>
              <c:numCache>
                <c:formatCode>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2-4EF6-493C-BC18-195CEDAD153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72650688"/>
        <c:axId val="247694256"/>
      </c:areaChart>
      <c:catAx>
        <c:axId val="27265068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247694256"/>
        <c:crosses val="autoZero"/>
        <c:auto val="1"/>
        <c:lblAlgn val="ctr"/>
        <c:lblOffset val="100"/>
        <c:noMultiLvlLbl val="0"/>
      </c:catAx>
      <c:valAx>
        <c:axId val="247694256"/>
        <c:scaling>
          <c:orientation val="minMax"/>
        </c:scaling>
        <c:delete val="1"/>
        <c:axPos val="l"/>
        <c:numFmt formatCode="0.0" sourceLinked="1"/>
        <c:majorTickMark val="out"/>
        <c:minorTickMark val="none"/>
        <c:tickLblPos val="nextTo"/>
        <c:crossAx val="2726506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0123A"/>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Visit Project.xlsx]Pivot Table!PivotTable13</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Patient Satisfaction Score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Table'!$L$2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Table'!$K$3:$K$34</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Table'!$L$3:$L$34</c:f>
              <c:numCache>
                <c:formatCode>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2-A7BA-4228-A11A-843854EEDD8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72700336"/>
        <c:axId val="247668816"/>
      </c:areaChart>
      <c:catAx>
        <c:axId val="2727003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247668816"/>
        <c:crosses val="autoZero"/>
        <c:auto val="1"/>
        <c:lblAlgn val="ctr"/>
        <c:lblOffset val="100"/>
        <c:noMultiLvlLbl val="0"/>
      </c:catAx>
      <c:valAx>
        <c:axId val="247668816"/>
        <c:scaling>
          <c:orientation val="minMax"/>
        </c:scaling>
        <c:delete val="1"/>
        <c:axPos val="l"/>
        <c:numFmt formatCode="0.0" sourceLinked="1"/>
        <c:majorTickMark val="out"/>
        <c:minorTickMark val="none"/>
        <c:tickLblPos val="nextTo"/>
        <c:crossAx val="272700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0123A"/>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Visit Project.xlsx]Pivot Table!PivotTable4</c:name>
    <c:fmtId val="11"/>
  </c:pivotSource>
  <c:chart>
    <c:autoTitleDeleted val="0"/>
    <c:pivotFmts>
      <c:pivotFmt>
        <c:idx val="0"/>
        <c:spPr>
          <a:gradFill>
            <a:gsLst>
              <a:gs pos="0">
                <a:srgbClr val="374AEC"/>
              </a:gs>
              <a:gs pos="53000">
                <a:srgbClr val="7C93FD"/>
              </a:gs>
              <a:gs pos="88000">
                <a:srgbClr val="1B2399"/>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s>
    <c:plotArea>
      <c:layout>
        <c:manualLayout>
          <c:layoutTarget val="inner"/>
          <c:xMode val="edge"/>
          <c:yMode val="edge"/>
          <c:x val="7.6365504876022214E-2"/>
          <c:y val="0.21165768724963183"/>
          <c:w val="0.92363477012751161"/>
          <c:h val="0.57668462550073629"/>
        </c:manualLayout>
      </c:layout>
      <c:barChart>
        <c:barDir val="bar"/>
        <c:grouping val="clustered"/>
        <c:varyColors val="0"/>
        <c:ser>
          <c:idx val="0"/>
          <c:order val="0"/>
          <c:tx>
            <c:strRef>
              <c:f>'Pivot Table'!$O$2</c:f>
              <c:strCache>
                <c:ptCount val="1"/>
                <c:pt idx="0">
                  <c:v>Count of Patient Admission Flag</c:v>
                </c:pt>
              </c:strCache>
            </c:strRef>
          </c:tx>
          <c:spPr>
            <a:gradFill>
              <a:gsLst>
                <a:gs pos="0">
                  <a:srgbClr val="374AEC"/>
                </a:gs>
                <a:gs pos="53000">
                  <a:srgbClr val="7C93FD"/>
                </a:gs>
                <a:gs pos="88000">
                  <a:srgbClr val="1B2399"/>
                </a:gs>
              </a:gsLst>
              <a:lin ang="5400000" scaled="1"/>
            </a:gradFill>
            <a:ln>
              <a:noFill/>
            </a:ln>
            <a:effectLst/>
          </c:spPr>
          <c:invertIfNegative val="0"/>
          <c:cat>
            <c:strRef>
              <c:f>'Pivot Table'!$N$3:$N$5</c:f>
              <c:strCache>
                <c:ptCount val="2"/>
                <c:pt idx="0">
                  <c:v>Admitted</c:v>
                </c:pt>
                <c:pt idx="1">
                  <c:v>Not Admitted</c:v>
                </c:pt>
              </c:strCache>
            </c:strRef>
          </c:cat>
          <c:val>
            <c:numRef>
              <c:f>'Pivot Table'!$O$3:$O$5</c:f>
              <c:numCache>
                <c:formatCode>0</c:formatCode>
                <c:ptCount val="2"/>
                <c:pt idx="0">
                  <c:v>266</c:v>
                </c:pt>
                <c:pt idx="1">
                  <c:v>222</c:v>
                </c:pt>
              </c:numCache>
            </c:numRef>
          </c:val>
          <c:extLst>
            <c:ext xmlns:c16="http://schemas.microsoft.com/office/drawing/2014/chart" uri="{C3380CC4-5D6E-409C-BE32-E72D297353CC}">
              <c16:uniqueId val="{00000003-9333-43D2-924F-8D2EAB30157C}"/>
            </c:ext>
          </c:extLst>
        </c:ser>
        <c:ser>
          <c:idx val="1"/>
          <c:order val="1"/>
          <c:tx>
            <c:strRef>
              <c:f>'Pivot Table'!$P$2</c:f>
              <c:strCache>
                <c:ptCount val="1"/>
                <c:pt idx="0">
                  <c:v>Count of Patient Admission Flag2</c:v>
                </c:pt>
              </c:strCache>
            </c:strRef>
          </c:tx>
          <c:spPr>
            <a:solidFill>
              <a:schemeClr val="accent2"/>
            </a:solidFill>
            <a:ln>
              <a:noFill/>
            </a:ln>
            <a:effectLst/>
          </c:spPr>
          <c:invertIfNegative val="0"/>
          <c:cat>
            <c:strRef>
              <c:f>'Pivot Table'!$N$3:$N$5</c:f>
              <c:strCache>
                <c:ptCount val="2"/>
                <c:pt idx="0">
                  <c:v>Admitted</c:v>
                </c:pt>
                <c:pt idx="1">
                  <c:v>Not Admitted</c:v>
                </c:pt>
              </c:strCache>
            </c:strRef>
          </c:cat>
          <c:val>
            <c:numRef>
              <c:f>'Pivot Table'!$P$3:$P$5</c:f>
              <c:numCache>
                <c:formatCode>0.00%</c:formatCode>
                <c:ptCount val="2"/>
                <c:pt idx="0">
                  <c:v>0.54508196721311475</c:v>
                </c:pt>
                <c:pt idx="1">
                  <c:v>0.45491803278688525</c:v>
                </c:pt>
              </c:numCache>
            </c:numRef>
          </c:val>
          <c:extLst>
            <c:ext xmlns:c16="http://schemas.microsoft.com/office/drawing/2014/chart" uri="{C3380CC4-5D6E-409C-BE32-E72D297353CC}">
              <c16:uniqueId val="{00000004-9333-43D2-924F-8D2EAB30157C}"/>
            </c:ext>
          </c:extLst>
        </c:ser>
        <c:dLbls>
          <c:dLblPos val="outEnd"/>
          <c:showLegendKey val="0"/>
          <c:showVal val="0"/>
          <c:showCatName val="0"/>
          <c:showSerName val="0"/>
          <c:showPercent val="0"/>
          <c:showBubbleSize val="0"/>
        </c:dLbls>
        <c:gapWidth val="62"/>
        <c:axId val="891276175"/>
        <c:axId val="883843791"/>
      </c:barChart>
      <c:catAx>
        <c:axId val="891276175"/>
        <c:scaling>
          <c:orientation val="minMax"/>
        </c:scaling>
        <c:delete val="1"/>
        <c:axPos val="l"/>
        <c:numFmt formatCode="General" sourceLinked="1"/>
        <c:majorTickMark val="none"/>
        <c:minorTickMark val="none"/>
        <c:tickLblPos val="nextTo"/>
        <c:crossAx val="883843791"/>
        <c:crosses val="autoZero"/>
        <c:auto val="1"/>
        <c:lblAlgn val="ctr"/>
        <c:lblOffset val="100"/>
        <c:noMultiLvlLbl val="0"/>
      </c:catAx>
      <c:valAx>
        <c:axId val="883843791"/>
        <c:scaling>
          <c:orientation val="minMax"/>
        </c:scaling>
        <c:delete val="1"/>
        <c:axPos val="b"/>
        <c:numFmt formatCode="0" sourceLinked="1"/>
        <c:majorTickMark val="none"/>
        <c:minorTickMark val="none"/>
        <c:tickLblPos val="nextTo"/>
        <c:crossAx val="89127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5.svg"/><Relationship Id="rId12" Type="http://schemas.openxmlformats.org/officeDocument/2006/relationships/chart" Target="../charts/chart2.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xml"/><Relationship Id="rId5" Type="http://schemas.openxmlformats.org/officeDocument/2006/relationships/hyperlink" Target="https://www.pngall.com/hospital-png" TargetMode="External"/><Relationship Id="rId15" Type="http://schemas.openxmlformats.org/officeDocument/2006/relationships/chart" Target="../charts/chart4.xml"/><Relationship Id="rId10" Type="http://schemas.openxmlformats.org/officeDocument/2006/relationships/hyperlink" Target="#KPI!A1"/><Relationship Id="rId4" Type="http://schemas.microsoft.com/office/2007/relationships/hdphoto" Target="../media/hdphoto1.wdp"/><Relationship Id="rId9" Type="http://schemas.openxmlformats.org/officeDocument/2006/relationships/image" Target="../media/image7.svg"/><Relationship Id="rId14" Type="http://schemas.openxmlformats.org/officeDocument/2006/relationships/image" Target="../media/image8.emf"/></Relationships>
</file>

<file path=xl/drawings/_rels/drawing2.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chart" Target="../charts/chart10.xml"/><Relationship Id="rId7" Type="http://schemas.openxmlformats.org/officeDocument/2006/relationships/hyperlink" Target="#'Pivot Table'!A1"/><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5.svg"/><Relationship Id="rId5" Type="http://schemas.openxmlformats.org/officeDocument/2006/relationships/image" Target="../media/image14.png"/><Relationship Id="rId4" Type="http://schemas.openxmlformats.org/officeDocument/2006/relationships/hyperlink" Target="#Dashboards!A1"/><Relationship Id="rId9" Type="http://schemas.openxmlformats.org/officeDocument/2006/relationships/image" Target="../media/image17.svg"/></Relationships>
</file>

<file path=xl/drawings/_rels/drawing3.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19.svg"/><Relationship Id="rId7" Type="http://schemas.openxmlformats.org/officeDocument/2006/relationships/image" Target="../media/image23.svg"/><Relationship Id="rId2" Type="http://schemas.openxmlformats.org/officeDocument/2006/relationships/image" Target="../media/image18.png"/><Relationship Id="rId1" Type="http://schemas.openxmlformats.org/officeDocument/2006/relationships/chart" Target="../charts/chart11.xml"/><Relationship Id="rId6" Type="http://schemas.openxmlformats.org/officeDocument/2006/relationships/image" Target="../media/image22.png"/><Relationship Id="rId5" Type="http://schemas.openxmlformats.org/officeDocument/2006/relationships/image" Target="../media/image21.svg"/><Relationship Id="rId4" Type="http://schemas.openxmlformats.org/officeDocument/2006/relationships/image" Target="../media/image20.png"/><Relationship Id="rId9" Type="http://schemas.openxmlformats.org/officeDocument/2006/relationships/image" Target="../media/image2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261697</xdr:colOff>
      <xdr:row>2</xdr:row>
      <xdr:rowOff>50795</xdr:rowOff>
    </xdr:from>
    <xdr:to>
      <xdr:col>22</xdr:col>
      <xdr:colOff>156469</xdr:colOff>
      <xdr:row>36</xdr:row>
      <xdr:rowOff>133489</xdr:rowOff>
    </xdr:to>
    <xdr:grpSp>
      <xdr:nvGrpSpPr>
        <xdr:cNvPr id="2" name="Group 1">
          <a:extLst>
            <a:ext uri="{FF2B5EF4-FFF2-40B4-BE49-F238E27FC236}">
              <a16:creationId xmlns:a16="http://schemas.microsoft.com/office/drawing/2014/main" id="{FB9518BB-32DA-4DEC-831F-FE02450CF55C}"/>
            </a:ext>
          </a:extLst>
        </xdr:cNvPr>
        <xdr:cNvGrpSpPr/>
      </xdr:nvGrpSpPr>
      <xdr:grpSpPr>
        <a:xfrm>
          <a:off x="261697" y="422502"/>
          <a:ext cx="13183309" cy="6459798"/>
          <a:chOff x="589189" y="536393"/>
          <a:chExt cx="13318671" cy="6675120"/>
        </a:xfrm>
      </xdr:grpSpPr>
      <xdr:sp macro="" textlink="">
        <xdr:nvSpPr>
          <xdr:cNvPr id="3" name="Rectangle: Rounded Corners 2">
            <a:extLst>
              <a:ext uri="{FF2B5EF4-FFF2-40B4-BE49-F238E27FC236}">
                <a16:creationId xmlns:a16="http://schemas.microsoft.com/office/drawing/2014/main" id="{9D3C875B-E70D-1FF2-A642-C23E45DC27B7}"/>
              </a:ext>
            </a:extLst>
          </xdr:cNvPr>
          <xdr:cNvSpPr/>
        </xdr:nvSpPr>
        <xdr:spPr>
          <a:xfrm>
            <a:off x="589189" y="536393"/>
            <a:ext cx="13318671" cy="6675120"/>
          </a:xfrm>
          <a:prstGeom prst="roundRect">
            <a:avLst>
              <a:gd name="adj" fmla="val 4300"/>
            </a:avLst>
          </a:prstGeom>
          <a:gradFill flip="none" rotWithShape="1">
            <a:gsLst>
              <a:gs pos="4587">
                <a:srgbClr val="20245A"/>
              </a:gs>
              <a:gs pos="75000">
                <a:srgbClr val="10123B"/>
              </a:gs>
            </a:gsLst>
            <a:lin ang="8100000" scaled="1"/>
            <a:tileRect/>
          </a:gradFill>
          <a:ln w="9525">
            <a:gradFill flip="none" rotWithShape="1">
              <a:gsLst>
                <a:gs pos="0">
                  <a:srgbClr val="B9C1FF"/>
                </a:gs>
                <a:gs pos="100000">
                  <a:srgbClr val="333787"/>
                </a:gs>
                <a:gs pos="33000">
                  <a:srgbClr val="3D0498"/>
                </a:gs>
              </a:gsLst>
              <a:lin ang="9000000" scaled="0"/>
              <a:tileRect/>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FF4E4113-E16E-A465-3D6B-5656B067002E}"/>
              </a:ext>
            </a:extLst>
          </xdr:cNvPr>
          <xdr:cNvSpPr/>
        </xdr:nvSpPr>
        <xdr:spPr>
          <a:xfrm>
            <a:off x="941092" y="1508987"/>
            <a:ext cx="1285604" cy="5434535"/>
          </a:xfrm>
          <a:prstGeom prst="roundRect">
            <a:avLst/>
          </a:prstGeom>
          <a:gradFill>
            <a:gsLst>
              <a:gs pos="0">
                <a:srgbClr val="323687"/>
              </a:gs>
              <a:gs pos="66000">
                <a:srgbClr val="10123A"/>
              </a:gs>
            </a:gsLst>
            <a:lin ang="84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16B296FE-A3EF-9780-33E2-D96966A29365}"/>
              </a:ext>
            </a:extLst>
          </xdr:cNvPr>
          <xdr:cNvSpPr/>
        </xdr:nvSpPr>
        <xdr:spPr>
          <a:xfrm>
            <a:off x="2635412" y="767268"/>
            <a:ext cx="11034260" cy="469490"/>
          </a:xfrm>
          <a:prstGeom prst="roundRect">
            <a:avLst>
              <a:gd name="adj" fmla="val 50000"/>
            </a:avLst>
          </a:prstGeom>
          <a:gradFill>
            <a:gsLst>
              <a:gs pos="0">
                <a:srgbClr val="323687"/>
              </a:gs>
              <a:gs pos="100000">
                <a:srgbClr val="10123A"/>
              </a:gs>
            </a:gsLst>
            <a:lin ang="66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B77A24C6-1939-CE6D-B1B2-B177CF4F78D9}"/>
              </a:ext>
            </a:extLst>
          </xdr:cNvPr>
          <xdr:cNvSpPr/>
        </xdr:nvSpPr>
        <xdr:spPr>
          <a:xfrm>
            <a:off x="2478272" y="1538053"/>
            <a:ext cx="5785652" cy="2692073"/>
          </a:xfrm>
          <a:prstGeom prst="roundRect">
            <a:avLst/>
          </a:prstGeom>
          <a:gradFill>
            <a:gsLst>
              <a:gs pos="0">
                <a:srgbClr val="323687"/>
              </a:gs>
              <a:gs pos="82000">
                <a:srgbClr val="10123A"/>
              </a:gs>
            </a:gsLst>
            <a:lin ang="66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C532B150-CF24-4347-B97E-2C3FFD12880C}"/>
              </a:ext>
            </a:extLst>
          </xdr:cNvPr>
          <xdr:cNvSpPr/>
        </xdr:nvSpPr>
        <xdr:spPr>
          <a:xfrm>
            <a:off x="8500087" y="1470458"/>
            <a:ext cx="2368661" cy="2698218"/>
          </a:xfrm>
          <a:prstGeom prst="roundRect">
            <a:avLst/>
          </a:prstGeom>
          <a:gradFill>
            <a:gsLst>
              <a:gs pos="0">
                <a:srgbClr val="323687"/>
              </a:gs>
              <a:gs pos="83000">
                <a:srgbClr val="10123A"/>
              </a:gs>
            </a:gsLst>
            <a:lin ang="66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0D0D5EFA-4ADE-997A-7CF1-46F9AB6C975D}"/>
              </a:ext>
            </a:extLst>
          </xdr:cNvPr>
          <xdr:cNvSpPr/>
        </xdr:nvSpPr>
        <xdr:spPr>
          <a:xfrm>
            <a:off x="11118132" y="1506100"/>
            <a:ext cx="2551540" cy="2359742"/>
          </a:xfrm>
          <a:prstGeom prst="roundRect">
            <a:avLst>
              <a:gd name="adj" fmla="val 13979"/>
            </a:avLst>
          </a:prstGeom>
          <a:gradFill>
            <a:gsLst>
              <a:gs pos="0">
                <a:srgbClr val="323687"/>
              </a:gs>
              <a:gs pos="100000">
                <a:srgbClr val="10123A"/>
              </a:gs>
            </a:gsLst>
            <a:lin ang="66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4F610065-4863-7ED7-937F-BCA1D5D83204}"/>
              </a:ext>
            </a:extLst>
          </xdr:cNvPr>
          <xdr:cNvSpPr/>
        </xdr:nvSpPr>
        <xdr:spPr>
          <a:xfrm>
            <a:off x="2484180" y="4363599"/>
            <a:ext cx="2416576" cy="2646352"/>
          </a:xfrm>
          <a:prstGeom prst="roundRect">
            <a:avLst/>
          </a:prstGeom>
          <a:gradFill>
            <a:gsLst>
              <a:gs pos="0">
                <a:srgbClr val="323687"/>
              </a:gs>
              <a:gs pos="38000">
                <a:srgbClr val="10123A"/>
              </a:gs>
            </a:gsLst>
            <a:lin ang="60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D1BE9CEF-966D-18E5-13AD-26FBE499F088}"/>
              </a:ext>
            </a:extLst>
          </xdr:cNvPr>
          <xdr:cNvSpPr/>
        </xdr:nvSpPr>
        <xdr:spPr>
          <a:xfrm>
            <a:off x="8055301" y="4347007"/>
            <a:ext cx="2917301" cy="2640207"/>
          </a:xfrm>
          <a:prstGeom prst="roundRect">
            <a:avLst>
              <a:gd name="adj" fmla="val 14267"/>
            </a:avLst>
          </a:prstGeom>
          <a:gradFill>
            <a:gsLst>
              <a:gs pos="0">
                <a:srgbClr val="323687"/>
              </a:gs>
              <a:gs pos="75000">
                <a:srgbClr val="10123A"/>
              </a:gs>
            </a:gsLst>
            <a:lin ang="78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2B9DDA81-C627-A9AC-BDCF-DBB54A27060E}"/>
              </a:ext>
            </a:extLst>
          </xdr:cNvPr>
          <xdr:cNvSpPr/>
        </xdr:nvSpPr>
        <xdr:spPr>
          <a:xfrm>
            <a:off x="11133495" y="4056953"/>
            <a:ext cx="2551540" cy="2978683"/>
          </a:xfrm>
          <a:prstGeom prst="roundRect">
            <a:avLst/>
          </a:prstGeom>
          <a:gradFill>
            <a:gsLst>
              <a:gs pos="0">
                <a:srgbClr val="323687"/>
              </a:gs>
              <a:gs pos="77000">
                <a:srgbClr val="10123A"/>
              </a:gs>
            </a:gsLst>
            <a:lin ang="78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BB64281E-6C57-A935-07BE-D6C4FE997AE5}"/>
              </a:ext>
            </a:extLst>
          </xdr:cNvPr>
          <xdr:cNvSpPr/>
        </xdr:nvSpPr>
        <xdr:spPr>
          <a:xfrm>
            <a:off x="5088325" y="4407845"/>
            <a:ext cx="2762996" cy="1152649"/>
          </a:xfrm>
          <a:prstGeom prst="roundRect">
            <a:avLst>
              <a:gd name="adj" fmla="val 13913"/>
            </a:avLst>
          </a:prstGeom>
          <a:gradFill>
            <a:gsLst>
              <a:gs pos="0">
                <a:srgbClr val="323687"/>
              </a:gs>
              <a:gs pos="38000">
                <a:srgbClr val="10123A"/>
              </a:gs>
            </a:gsLst>
            <a:lin ang="60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EADD905A-154B-BCAD-B1DE-EF4AABE04325}"/>
              </a:ext>
            </a:extLst>
          </xdr:cNvPr>
          <xdr:cNvSpPr/>
        </xdr:nvSpPr>
        <xdr:spPr>
          <a:xfrm>
            <a:off x="5102457" y="5766357"/>
            <a:ext cx="2733500" cy="1172496"/>
          </a:xfrm>
          <a:prstGeom prst="roundRect">
            <a:avLst>
              <a:gd name="adj" fmla="val 13961"/>
            </a:avLst>
          </a:prstGeom>
          <a:gradFill>
            <a:gsLst>
              <a:gs pos="0">
                <a:srgbClr val="323687"/>
              </a:gs>
              <a:gs pos="38000">
                <a:srgbClr val="10123A"/>
              </a:gs>
            </a:gsLst>
            <a:lin ang="60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194390</xdr:colOff>
      <xdr:row>1</xdr:row>
      <xdr:rowOff>84237</xdr:rowOff>
    </xdr:from>
    <xdr:to>
      <xdr:col>26</xdr:col>
      <xdr:colOff>181910</xdr:colOff>
      <xdr:row>43</xdr:row>
      <xdr:rowOff>110354</xdr:rowOff>
    </xdr:to>
    <xdr:sp macro="" textlink="">
      <xdr:nvSpPr>
        <xdr:cNvPr id="14" name="Rectangle: Rounded Corners 13">
          <a:extLst>
            <a:ext uri="{FF2B5EF4-FFF2-40B4-BE49-F238E27FC236}">
              <a16:creationId xmlns:a16="http://schemas.microsoft.com/office/drawing/2014/main" id="{8DDA6D60-4780-4148-9705-CC44D5A31751}"/>
            </a:ext>
          </a:extLst>
        </xdr:cNvPr>
        <xdr:cNvSpPr/>
      </xdr:nvSpPr>
      <xdr:spPr>
        <a:xfrm>
          <a:off x="194390" y="277498"/>
          <a:ext cx="15779694" cy="8184486"/>
        </a:xfrm>
        <a:prstGeom prst="roundRect">
          <a:avLst>
            <a:gd name="adj" fmla="val 7422"/>
          </a:avLst>
        </a:prstGeom>
        <a:gradFill flip="none" rotWithShape="1">
          <a:gsLst>
            <a:gs pos="4587">
              <a:srgbClr val="1F2357"/>
            </a:gs>
            <a:gs pos="76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468053</xdr:colOff>
      <xdr:row>3</xdr:row>
      <xdr:rowOff>16489</xdr:rowOff>
    </xdr:from>
    <xdr:to>
      <xdr:col>25</xdr:col>
      <xdr:colOff>527463</xdr:colOff>
      <xdr:row>42</xdr:row>
      <xdr:rowOff>23656</xdr:rowOff>
    </xdr:to>
    <xdr:sp macro="" textlink="">
      <xdr:nvSpPr>
        <xdr:cNvPr id="15" name="Rectangle: Rounded Corners 14">
          <a:extLst>
            <a:ext uri="{FF2B5EF4-FFF2-40B4-BE49-F238E27FC236}">
              <a16:creationId xmlns:a16="http://schemas.microsoft.com/office/drawing/2014/main" id="{C8E133FE-B447-4D0C-A316-B9095B98400F}"/>
            </a:ext>
          </a:extLst>
        </xdr:cNvPr>
        <xdr:cNvSpPr/>
      </xdr:nvSpPr>
      <xdr:spPr>
        <a:xfrm>
          <a:off x="468053" y="596272"/>
          <a:ext cx="15244193" cy="7585754"/>
        </a:xfrm>
        <a:prstGeom prst="roundRect">
          <a:avLst>
            <a:gd name="adj" fmla="val 4300"/>
          </a:avLst>
        </a:prstGeom>
        <a:gradFill flip="none" rotWithShape="1">
          <a:gsLst>
            <a:gs pos="4587">
              <a:srgbClr val="20245A"/>
            </a:gs>
            <a:gs pos="75000">
              <a:srgbClr val="10123B"/>
            </a:gs>
          </a:gsLst>
          <a:lin ang="8100000" scaled="1"/>
          <a:tileRect/>
        </a:gradFill>
        <a:ln w="9525">
          <a:gradFill flip="none" rotWithShape="1">
            <a:gsLst>
              <a:gs pos="0">
                <a:srgbClr val="B9C1FF"/>
              </a:gs>
              <a:gs pos="100000">
                <a:srgbClr val="333787"/>
              </a:gs>
              <a:gs pos="33000">
                <a:srgbClr val="3D0498"/>
              </a:gs>
            </a:gsLst>
            <a:lin ang="9000000" scaled="0"/>
            <a:tileRect/>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74961</xdr:colOff>
      <xdr:row>11</xdr:row>
      <xdr:rowOff>129727</xdr:rowOff>
    </xdr:from>
    <xdr:to>
      <xdr:col>3</xdr:col>
      <xdr:colOff>311526</xdr:colOff>
      <xdr:row>40</xdr:row>
      <xdr:rowOff>174693</xdr:rowOff>
    </xdr:to>
    <xdr:sp macro="" textlink="">
      <xdr:nvSpPr>
        <xdr:cNvPr id="16" name="Rectangle: Rounded Corners 15">
          <a:extLst>
            <a:ext uri="{FF2B5EF4-FFF2-40B4-BE49-F238E27FC236}">
              <a16:creationId xmlns:a16="http://schemas.microsoft.com/office/drawing/2014/main" id="{CA3C3DB7-4AB6-4895-90A7-8295E15DEE5E}"/>
            </a:ext>
          </a:extLst>
        </xdr:cNvPr>
        <xdr:cNvSpPr/>
      </xdr:nvSpPr>
      <xdr:spPr>
        <a:xfrm>
          <a:off x="682352" y="2255597"/>
          <a:ext cx="1451348" cy="5690944"/>
        </a:xfrm>
        <a:prstGeom prst="roundRect">
          <a:avLst/>
        </a:prstGeom>
        <a:gradFill>
          <a:gsLst>
            <a:gs pos="0">
              <a:srgbClr val="323687"/>
            </a:gs>
            <a:gs pos="66000">
              <a:srgbClr val="10123A"/>
            </a:gs>
          </a:gsLst>
          <a:lin ang="84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81125</xdr:colOff>
      <xdr:row>4</xdr:row>
      <xdr:rowOff>38840</xdr:rowOff>
    </xdr:from>
    <xdr:to>
      <xdr:col>11</xdr:col>
      <xdr:colOff>225577</xdr:colOff>
      <xdr:row>10</xdr:row>
      <xdr:rowOff>115725</xdr:rowOff>
    </xdr:to>
    <xdr:sp macro="" textlink="">
      <xdr:nvSpPr>
        <xdr:cNvPr id="17" name="Rectangle: Rounded Corners 16">
          <a:extLst>
            <a:ext uri="{FF2B5EF4-FFF2-40B4-BE49-F238E27FC236}">
              <a16:creationId xmlns:a16="http://schemas.microsoft.com/office/drawing/2014/main" id="{9D2C8AFD-B0CD-4E3A-9C15-5BBADA2C0D07}"/>
            </a:ext>
          </a:extLst>
        </xdr:cNvPr>
        <xdr:cNvSpPr/>
      </xdr:nvSpPr>
      <xdr:spPr>
        <a:xfrm>
          <a:off x="688516" y="811883"/>
          <a:ext cx="6218365" cy="1236451"/>
        </a:xfrm>
        <a:prstGeom prst="roundRect">
          <a:avLst>
            <a:gd name="adj" fmla="val 33859"/>
          </a:avLst>
        </a:prstGeom>
        <a:gradFill>
          <a:gsLst>
            <a:gs pos="0">
              <a:srgbClr val="323687"/>
            </a:gs>
            <a:gs pos="100000">
              <a:srgbClr val="10123A"/>
            </a:gs>
          </a:gsLst>
          <a:lin ang="66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433717</xdr:colOff>
      <xdr:row>26</xdr:row>
      <xdr:rowOff>192947</xdr:rowOff>
    </xdr:from>
    <xdr:to>
      <xdr:col>16</xdr:col>
      <xdr:colOff>118381</xdr:colOff>
      <xdr:row>40</xdr:row>
      <xdr:rowOff>172960</xdr:rowOff>
    </xdr:to>
    <xdr:sp macro="" textlink="">
      <xdr:nvSpPr>
        <xdr:cNvPr id="18" name="Rectangle: Rounded Corners 17">
          <a:extLst>
            <a:ext uri="{FF2B5EF4-FFF2-40B4-BE49-F238E27FC236}">
              <a16:creationId xmlns:a16="http://schemas.microsoft.com/office/drawing/2014/main" id="{BE08E937-151F-4B85-B08C-BA5FA83F2576}"/>
            </a:ext>
          </a:extLst>
        </xdr:cNvPr>
        <xdr:cNvSpPr/>
      </xdr:nvSpPr>
      <xdr:spPr>
        <a:xfrm>
          <a:off x="2255891" y="5259143"/>
          <a:ext cx="7580751" cy="2685665"/>
        </a:xfrm>
        <a:prstGeom prst="roundRect">
          <a:avLst/>
        </a:prstGeom>
        <a:gradFill>
          <a:gsLst>
            <a:gs pos="0">
              <a:srgbClr val="323687"/>
            </a:gs>
            <a:gs pos="82000">
              <a:srgbClr val="10123A"/>
            </a:gs>
          </a:gsLst>
          <a:lin ang="66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124852</xdr:colOff>
      <xdr:row>4</xdr:row>
      <xdr:rowOff>31102</xdr:rowOff>
    </xdr:from>
    <xdr:to>
      <xdr:col>25</xdr:col>
      <xdr:colOff>367492</xdr:colOff>
      <xdr:row>17</xdr:row>
      <xdr:rowOff>93275</xdr:rowOff>
    </xdr:to>
    <xdr:sp macro="" textlink="">
      <xdr:nvSpPr>
        <xdr:cNvPr id="19" name="Rectangle: Rounded Corners 18">
          <a:extLst>
            <a:ext uri="{FF2B5EF4-FFF2-40B4-BE49-F238E27FC236}">
              <a16:creationId xmlns:a16="http://schemas.microsoft.com/office/drawing/2014/main" id="{92098BD1-2FC8-4DAE-BE8B-84BABA4737D3}"/>
            </a:ext>
          </a:extLst>
        </xdr:cNvPr>
        <xdr:cNvSpPr/>
      </xdr:nvSpPr>
      <xdr:spPr>
        <a:xfrm>
          <a:off x="12880069" y="804145"/>
          <a:ext cx="2672206" cy="2574565"/>
        </a:xfrm>
        <a:prstGeom prst="roundRect">
          <a:avLst>
            <a:gd name="adj" fmla="val 14267"/>
          </a:avLst>
        </a:prstGeom>
        <a:gradFill>
          <a:gsLst>
            <a:gs pos="0">
              <a:srgbClr val="323687"/>
            </a:gs>
            <a:gs pos="75000">
              <a:srgbClr val="10123A"/>
            </a:gs>
          </a:gsLst>
          <a:lin ang="78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428449</xdr:colOff>
      <xdr:row>4</xdr:row>
      <xdr:rowOff>37566</xdr:rowOff>
    </xdr:from>
    <xdr:to>
      <xdr:col>16</xdr:col>
      <xdr:colOff>153290</xdr:colOff>
      <xdr:row>10</xdr:row>
      <xdr:rowOff>130571</xdr:rowOff>
    </xdr:to>
    <xdr:sp macro="" textlink="">
      <xdr:nvSpPr>
        <xdr:cNvPr id="20" name="Rectangle: Rounded Corners 19">
          <a:extLst>
            <a:ext uri="{FF2B5EF4-FFF2-40B4-BE49-F238E27FC236}">
              <a16:creationId xmlns:a16="http://schemas.microsoft.com/office/drawing/2014/main" id="{AFF21BD6-A26D-4F2F-93BA-62F92EFB03A8}"/>
            </a:ext>
          </a:extLst>
        </xdr:cNvPr>
        <xdr:cNvSpPr/>
      </xdr:nvSpPr>
      <xdr:spPr>
        <a:xfrm>
          <a:off x="7109753" y="810609"/>
          <a:ext cx="2761798" cy="1252571"/>
        </a:xfrm>
        <a:prstGeom prst="roundRect">
          <a:avLst>
            <a:gd name="adj" fmla="val 13913"/>
          </a:avLst>
        </a:prstGeom>
        <a:gradFill>
          <a:gsLst>
            <a:gs pos="9000">
              <a:srgbClr val="323687">
                <a:lumMod val="92000"/>
                <a:lumOff val="8000"/>
              </a:srgbClr>
            </a:gs>
            <a:gs pos="79000">
              <a:srgbClr val="10123A"/>
            </a:gs>
          </a:gsLst>
          <a:lin ang="6000000" scaled="0"/>
        </a:gradFill>
        <a:ln w="9525">
          <a:gradFill>
            <a:gsLst>
              <a:gs pos="0">
                <a:srgbClr val="A2D8F0"/>
              </a:gs>
              <a:gs pos="38000">
                <a:srgbClr val="5D63D1"/>
              </a:gs>
              <a:gs pos="100000">
                <a:srgbClr val="2E327A"/>
              </a:gs>
            </a:gsLst>
            <a:lin ang="60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430134</xdr:colOff>
      <xdr:row>11</xdr:row>
      <xdr:rowOff>146342</xdr:rowOff>
    </xdr:from>
    <xdr:to>
      <xdr:col>7</xdr:col>
      <xdr:colOff>448654</xdr:colOff>
      <xdr:row>19</xdr:row>
      <xdr:rowOff>7168</xdr:rowOff>
    </xdr:to>
    <xdr:sp macro="" textlink="">
      <xdr:nvSpPr>
        <xdr:cNvPr id="21" name="Rectangle: Rounded Corners 20">
          <a:extLst>
            <a:ext uri="{FF2B5EF4-FFF2-40B4-BE49-F238E27FC236}">
              <a16:creationId xmlns:a16="http://schemas.microsoft.com/office/drawing/2014/main" id="{CFC68EC1-8273-4C72-B2E3-7AABB98D2C2B}"/>
            </a:ext>
          </a:extLst>
        </xdr:cNvPr>
        <xdr:cNvSpPr/>
      </xdr:nvSpPr>
      <xdr:spPr>
        <a:xfrm>
          <a:off x="2252308" y="2272212"/>
          <a:ext cx="2448085" cy="1448326"/>
        </a:xfrm>
        <a:prstGeom prst="roundRect">
          <a:avLst>
            <a:gd name="adj" fmla="val 13961"/>
          </a:avLst>
        </a:prstGeom>
        <a:gradFill>
          <a:gsLst>
            <a:gs pos="0">
              <a:srgbClr val="323687"/>
            </a:gs>
            <a:gs pos="81000">
              <a:srgbClr val="10123A"/>
            </a:gs>
          </a:gsLst>
          <a:lin ang="72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318320</xdr:colOff>
      <xdr:row>4</xdr:row>
      <xdr:rowOff>30492</xdr:rowOff>
    </xdr:from>
    <xdr:to>
      <xdr:col>20</xdr:col>
      <xdr:colOff>570876</xdr:colOff>
      <xdr:row>17</xdr:row>
      <xdr:rowOff>92665</xdr:rowOff>
    </xdr:to>
    <xdr:sp macro="" textlink="">
      <xdr:nvSpPr>
        <xdr:cNvPr id="22" name="Rectangle: Rounded Corners 21">
          <a:extLst>
            <a:ext uri="{FF2B5EF4-FFF2-40B4-BE49-F238E27FC236}">
              <a16:creationId xmlns:a16="http://schemas.microsoft.com/office/drawing/2014/main" id="{094A058B-5524-4E15-BCC2-548CCD371C4F}"/>
            </a:ext>
          </a:extLst>
        </xdr:cNvPr>
        <xdr:cNvSpPr/>
      </xdr:nvSpPr>
      <xdr:spPr>
        <a:xfrm>
          <a:off x="10036581" y="803535"/>
          <a:ext cx="2682121" cy="2574565"/>
        </a:xfrm>
        <a:prstGeom prst="roundRect">
          <a:avLst>
            <a:gd name="adj" fmla="val 14267"/>
          </a:avLst>
        </a:prstGeom>
        <a:gradFill>
          <a:gsLst>
            <a:gs pos="0">
              <a:srgbClr val="323687"/>
            </a:gs>
            <a:gs pos="75000">
              <a:srgbClr val="10123A"/>
            </a:gs>
          </a:gsLst>
          <a:lin ang="78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584088</xdr:colOff>
      <xdr:row>11</xdr:row>
      <xdr:rowOff>142899</xdr:rowOff>
    </xdr:from>
    <xdr:to>
      <xdr:col>11</xdr:col>
      <xdr:colOff>602609</xdr:colOff>
      <xdr:row>19</xdr:row>
      <xdr:rowOff>3725</xdr:rowOff>
    </xdr:to>
    <xdr:sp macro="" textlink="">
      <xdr:nvSpPr>
        <xdr:cNvPr id="23" name="Rectangle: Rounded Corners 22">
          <a:extLst>
            <a:ext uri="{FF2B5EF4-FFF2-40B4-BE49-F238E27FC236}">
              <a16:creationId xmlns:a16="http://schemas.microsoft.com/office/drawing/2014/main" id="{7EFF1BA6-43C2-416C-B4C0-1464C3960E20}"/>
            </a:ext>
          </a:extLst>
        </xdr:cNvPr>
        <xdr:cNvSpPr/>
      </xdr:nvSpPr>
      <xdr:spPr>
        <a:xfrm>
          <a:off x="4835827" y="2268769"/>
          <a:ext cx="2448086" cy="1448326"/>
        </a:xfrm>
        <a:prstGeom prst="roundRect">
          <a:avLst>
            <a:gd name="adj" fmla="val 13961"/>
          </a:avLst>
        </a:prstGeom>
        <a:gradFill>
          <a:gsLst>
            <a:gs pos="0">
              <a:srgbClr val="323687"/>
            </a:gs>
            <a:gs pos="81000">
              <a:srgbClr val="10123A"/>
            </a:gs>
          </a:gsLst>
          <a:lin ang="72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145246</xdr:colOff>
      <xdr:row>11</xdr:row>
      <xdr:rowOff>139457</xdr:rowOff>
    </xdr:from>
    <xdr:to>
      <xdr:col>16</xdr:col>
      <xdr:colOff>163767</xdr:colOff>
      <xdr:row>19</xdr:row>
      <xdr:rowOff>283</xdr:rowOff>
    </xdr:to>
    <xdr:sp macro="" textlink="">
      <xdr:nvSpPr>
        <xdr:cNvPr id="24" name="Rectangle: Rounded Corners 23">
          <a:extLst>
            <a:ext uri="{FF2B5EF4-FFF2-40B4-BE49-F238E27FC236}">
              <a16:creationId xmlns:a16="http://schemas.microsoft.com/office/drawing/2014/main" id="{5ADD9EF0-EC4E-49F0-9D0D-8ECE2AFF4EEA}"/>
            </a:ext>
          </a:extLst>
        </xdr:cNvPr>
        <xdr:cNvSpPr/>
      </xdr:nvSpPr>
      <xdr:spPr>
        <a:xfrm>
          <a:off x="7433942" y="2265327"/>
          <a:ext cx="2448086" cy="1448326"/>
        </a:xfrm>
        <a:prstGeom prst="roundRect">
          <a:avLst>
            <a:gd name="adj" fmla="val 13961"/>
          </a:avLst>
        </a:prstGeom>
        <a:gradFill>
          <a:gsLst>
            <a:gs pos="0">
              <a:srgbClr val="323687"/>
            </a:gs>
            <a:gs pos="80000">
              <a:srgbClr val="10123A"/>
            </a:gs>
          </a:gsLst>
          <a:lin ang="72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451172</xdr:colOff>
      <xdr:row>19</xdr:row>
      <xdr:rowOff>188666</xdr:rowOff>
    </xdr:from>
    <xdr:to>
      <xdr:col>16</xdr:col>
      <xdr:colOff>135838</xdr:colOff>
      <xdr:row>26</xdr:row>
      <xdr:rowOff>40556</xdr:rowOff>
    </xdr:to>
    <xdr:sp macro="" textlink="">
      <xdr:nvSpPr>
        <xdr:cNvPr id="25" name="Rectangle: Rounded Corners 24">
          <a:extLst>
            <a:ext uri="{FF2B5EF4-FFF2-40B4-BE49-F238E27FC236}">
              <a16:creationId xmlns:a16="http://schemas.microsoft.com/office/drawing/2014/main" id="{5C9B2E65-1705-4F37-A7E3-16B8B15D8426}"/>
            </a:ext>
          </a:extLst>
        </xdr:cNvPr>
        <xdr:cNvSpPr/>
      </xdr:nvSpPr>
      <xdr:spPr>
        <a:xfrm>
          <a:off x="2273346" y="3902036"/>
          <a:ext cx="7580753" cy="1204716"/>
        </a:xfrm>
        <a:prstGeom prst="roundRect">
          <a:avLst>
            <a:gd name="adj" fmla="val 33859"/>
          </a:avLst>
        </a:prstGeom>
        <a:gradFill>
          <a:gsLst>
            <a:gs pos="0">
              <a:srgbClr val="323687"/>
            </a:gs>
            <a:gs pos="100000">
              <a:srgbClr val="10123A"/>
            </a:gs>
          </a:gsLst>
          <a:lin ang="66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314183</xdr:colOff>
      <xdr:row>18</xdr:row>
      <xdr:rowOff>76385</xdr:rowOff>
    </xdr:from>
    <xdr:to>
      <xdr:col>25</xdr:col>
      <xdr:colOff>367587</xdr:colOff>
      <xdr:row>40</xdr:row>
      <xdr:rowOff>192788</xdr:rowOff>
    </xdr:to>
    <xdr:sp macro="" textlink="">
      <xdr:nvSpPr>
        <xdr:cNvPr id="26" name="Rectangle: Rounded Corners 25">
          <a:extLst>
            <a:ext uri="{FF2B5EF4-FFF2-40B4-BE49-F238E27FC236}">
              <a16:creationId xmlns:a16="http://schemas.microsoft.com/office/drawing/2014/main" id="{55C1604F-F1D7-4135-8AA8-B89C73B3BA67}"/>
            </a:ext>
          </a:extLst>
        </xdr:cNvPr>
        <xdr:cNvSpPr/>
      </xdr:nvSpPr>
      <xdr:spPr>
        <a:xfrm>
          <a:off x="10032444" y="3596494"/>
          <a:ext cx="5519926" cy="4368142"/>
        </a:xfrm>
        <a:prstGeom prst="roundRect">
          <a:avLst/>
        </a:prstGeom>
        <a:gradFill>
          <a:gsLst>
            <a:gs pos="0">
              <a:srgbClr val="323687"/>
            </a:gs>
            <a:gs pos="82000">
              <a:srgbClr val="10123A"/>
            </a:gs>
          </a:gsLst>
          <a:lin ang="6600000" scaled="0"/>
        </a:gradFill>
        <a:ln w="9525">
          <a:gradFill>
            <a:gsLst>
              <a:gs pos="0">
                <a:srgbClr val="A2D8F0"/>
              </a:gs>
              <a:gs pos="38000">
                <a:srgbClr val="5D63D1"/>
              </a:gs>
              <a:gs pos="100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119103</xdr:colOff>
      <xdr:row>12</xdr:row>
      <xdr:rowOff>32145</xdr:rowOff>
    </xdr:from>
    <xdr:to>
      <xdr:col>11</xdr:col>
      <xdr:colOff>554917</xdr:colOff>
      <xdr:row>14</xdr:row>
      <xdr:rowOff>97010</xdr:rowOff>
    </xdr:to>
    <xdr:pic>
      <xdr:nvPicPr>
        <xdr:cNvPr id="37" name="Graphic 36" descr="Hourglass Finished with solid fill">
          <a:extLst>
            <a:ext uri="{FF2B5EF4-FFF2-40B4-BE49-F238E27FC236}">
              <a16:creationId xmlns:a16="http://schemas.microsoft.com/office/drawing/2014/main" id="{4C0098EB-E9B1-4406-A195-5808F61426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00407" y="2351275"/>
          <a:ext cx="435814" cy="451387"/>
        </a:xfrm>
        <a:prstGeom prst="rect">
          <a:avLst/>
        </a:prstGeom>
      </xdr:spPr>
    </xdr:pic>
    <xdr:clientData/>
  </xdr:twoCellAnchor>
  <xdr:twoCellAnchor>
    <xdr:from>
      <xdr:col>2</xdr:col>
      <xdr:colOff>482627</xdr:colOff>
      <xdr:row>4</xdr:row>
      <xdr:rowOff>61689</xdr:rowOff>
    </xdr:from>
    <xdr:to>
      <xdr:col>11</xdr:col>
      <xdr:colOff>174239</xdr:colOff>
      <xdr:row>6</xdr:row>
      <xdr:rowOff>116159</xdr:rowOff>
    </xdr:to>
    <xdr:sp macro="" textlink="">
      <xdr:nvSpPr>
        <xdr:cNvPr id="27" name="TextBox 26">
          <a:extLst>
            <a:ext uri="{FF2B5EF4-FFF2-40B4-BE49-F238E27FC236}">
              <a16:creationId xmlns:a16="http://schemas.microsoft.com/office/drawing/2014/main" id="{C4B79042-01CB-1819-6247-719D425FDF4C}"/>
            </a:ext>
          </a:extLst>
        </xdr:cNvPr>
        <xdr:cNvSpPr txBox="1"/>
      </xdr:nvSpPr>
      <xdr:spPr>
        <a:xfrm>
          <a:off x="1690676" y="805104"/>
          <a:ext cx="5127831" cy="426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2">
                  <a:lumMod val="25000"/>
                  <a:lumOff val="75000"/>
                </a:schemeClr>
              </a:solidFill>
              <a:latin typeface="Bookman Old Style" panose="02050604050505020204" pitchFamily="18" charset="0"/>
            </a:rPr>
            <a:t>Hospital Emergency Room Dashboard</a:t>
          </a:r>
        </a:p>
      </xdr:txBody>
    </xdr:sp>
    <xdr:clientData/>
  </xdr:twoCellAnchor>
  <xdr:twoCellAnchor>
    <xdr:from>
      <xdr:col>4</xdr:col>
      <xdr:colOff>274192</xdr:colOff>
      <xdr:row>6</xdr:row>
      <xdr:rowOff>116339</xdr:rowOff>
    </xdr:from>
    <xdr:to>
      <xdr:col>9</xdr:col>
      <xdr:colOff>336858</xdr:colOff>
      <xdr:row>9</xdr:row>
      <xdr:rowOff>46463</xdr:rowOff>
    </xdr:to>
    <xdr:sp macro="" textlink="">
      <xdr:nvSpPr>
        <xdr:cNvPr id="28" name="TextBox 27">
          <a:extLst>
            <a:ext uri="{FF2B5EF4-FFF2-40B4-BE49-F238E27FC236}">
              <a16:creationId xmlns:a16="http://schemas.microsoft.com/office/drawing/2014/main" id="{92C34863-F33D-892F-E387-7A5C25167C9E}"/>
            </a:ext>
          </a:extLst>
        </xdr:cNvPr>
        <xdr:cNvSpPr txBox="1"/>
      </xdr:nvSpPr>
      <xdr:spPr>
        <a:xfrm>
          <a:off x="2690290" y="1231461"/>
          <a:ext cx="3082788" cy="4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000000"/>
              </a:solidFill>
              <a:latin typeface="Bookman Old Style" panose="02050604050505020204" pitchFamily="18" charset="0"/>
            </a:rPr>
            <a:t>Monthy Report</a:t>
          </a:r>
        </a:p>
      </xdr:txBody>
    </xdr:sp>
    <xdr:clientData/>
  </xdr:twoCellAnchor>
  <xdr:twoCellAnchor>
    <xdr:from>
      <xdr:col>1</xdr:col>
      <xdr:colOff>208719</xdr:colOff>
      <xdr:row>4</xdr:row>
      <xdr:rowOff>3779</xdr:rowOff>
    </xdr:from>
    <xdr:to>
      <xdr:col>3</xdr:col>
      <xdr:colOff>166087</xdr:colOff>
      <xdr:row>10</xdr:row>
      <xdr:rowOff>142813</xdr:rowOff>
    </xdr:to>
    <xdr:pic>
      <xdr:nvPicPr>
        <xdr:cNvPr id="35" name="Picture 34">
          <a:extLst>
            <a:ext uri="{FF2B5EF4-FFF2-40B4-BE49-F238E27FC236}">
              <a16:creationId xmlns:a16="http://schemas.microsoft.com/office/drawing/2014/main" id="{5A2D5005-955D-E022-DF83-7AA28DAC685A}"/>
            </a:ext>
          </a:extLst>
        </xdr:cNvPr>
        <xdr:cNvPicPr>
          <a:picLocks noChangeAspect="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colorTemperature colorTemp="2947"/>
                  </a14:imgEffect>
                  <a14:imgEffect>
                    <a14:saturation sat="55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816110" y="776822"/>
          <a:ext cx="1172151" cy="1298600"/>
        </a:xfrm>
        <a:prstGeom prst="rect">
          <a:avLst/>
        </a:prstGeom>
        <a:noFill/>
      </xdr:spPr>
    </xdr:pic>
    <xdr:clientData/>
  </xdr:twoCellAnchor>
  <xdr:twoCellAnchor>
    <xdr:from>
      <xdr:col>4</xdr:col>
      <xdr:colOff>309025</xdr:colOff>
      <xdr:row>13</xdr:row>
      <xdr:rowOff>97116</xdr:rowOff>
    </xdr:from>
    <xdr:to>
      <xdr:col>7</xdr:col>
      <xdr:colOff>74198</xdr:colOff>
      <xdr:row>15</xdr:row>
      <xdr:rowOff>96907</xdr:rowOff>
    </xdr:to>
    <xdr:sp macro="" textlink="">
      <xdr:nvSpPr>
        <xdr:cNvPr id="40" name="TextBox 39">
          <a:extLst>
            <a:ext uri="{FF2B5EF4-FFF2-40B4-BE49-F238E27FC236}">
              <a16:creationId xmlns:a16="http://schemas.microsoft.com/office/drawing/2014/main" id="{863BE80F-782B-B28F-3BAD-5AE8B40CEDD2}"/>
            </a:ext>
          </a:extLst>
        </xdr:cNvPr>
        <xdr:cNvSpPr txBox="1"/>
      </xdr:nvSpPr>
      <xdr:spPr>
        <a:xfrm>
          <a:off x="2738590" y="2609507"/>
          <a:ext cx="1587347" cy="386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CEC5FF"/>
              </a:solidFill>
            </a:rPr>
            <a:t>No. of Patient</a:t>
          </a:r>
        </a:p>
      </xdr:txBody>
    </xdr:sp>
    <xdr:clientData/>
  </xdr:twoCellAnchor>
  <xdr:twoCellAnchor>
    <xdr:from>
      <xdr:col>8</xdr:col>
      <xdr:colOff>194391</xdr:colOff>
      <xdr:row>13</xdr:row>
      <xdr:rowOff>125367</xdr:rowOff>
    </xdr:from>
    <xdr:to>
      <xdr:col>11</xdr:col>
      <xdr:colOff>437991</xdr:colOff>
      <xdr:row>15</xdr:row>
      <xdr:rowOff>125157</xdr:rowOff>
    </xdr:to>
    <xdr:sp macro="" textlink="">
      <xdr:nvSpPr>
        <xdr:cNvPr id="41" name="TextBox 40">
          <a:extLst>
            <a:ext uri="{FF2B5EF4-FFF2-40B4-BE49-F238E27FC236}">
              <a16:creationId xmlns:a16="http://schemas.microsoft.com/office/drawing/2014/main" id="{896245BF-6D50-4186-DF79-7815A0F3DC1A}"/>
            </a:ext>
          </a:extLst>
        </xdr:cNvPr>
        <xdr:cNvSpPr txBox="1"/>
      </xdr:nvSpPr>
      <xdr:spPr>
        <a:xfrm>
          <a:off x="5053521" y="2637758"/>
          <a:ext cx="2065774" cy="386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CEC5FF"/>
              </a:solidFill>
            </a:rPr>
            <a:t>Average</a:t>
          </a:r>
          <a:r>
            <a:rPr lang="en-US" sz="2000" baseline="0">
              <a:solidFill>
                <a:srgbClr val="CEC5FF"/>
              </a:solidFill>
            </a:rPr>
            <a:t> Wait Time</a:t>
          </a:r>
          <a:endParaRPr lang="en-US" sz="2000">
            <a:solidFill>
              <a:srgbClr val="CEC5FF"/>
            </a:solidFill>
          </a:endParaRPr>
        </a:p>
      </xdr:txBody>
    </xdr:sp>
    <xdr:clientData/>
  </xdr:twoCellAnchor>
  <xdr:twoCellAnchor>
    <xdr:from>
      <xdr:col>12</xdr:col>
      <xdr:colOff>117187</xdr:colOff>
      <xdr:row>13</xdr:row>
      <xdr:rowOff>125368</xdr:rowOff>
    </xdr:from>
    <xdr:to>
      <xdr:col>16</xdr:col>
      <xdr:colOff>223049</xdr:colOff>
      <xdr:row>15</xdr:row>
      <xdr:rowOff>153412</xdr:rowOff>
    </xdr:to>
    <xdr:sp macro="" textlink="">
      <xdr:nvSpPr>
        <xdr:cNvPr id="42" name="TextBox 41">
          <a:extLst>
            <a:ext uri="{FF2B5EF4-FFF2-40B4-BE49-F238E27FC236}">
              <a16:creationId xmlns:a16="http://schemas.microsoft.com/office/drawing/2014/main" id="{F5A5BABC-27D9-E56B-F38C-E7F8E112D152}"/>
            </a:ext>
          </a:extLst>
        </xdr:cNvPr>
        <xdr:cNvSpPr txBox="1"/>
      </xdr:nvSpPr>
      <xdr:spPr>
        <a:xfrm>
          <a:off x="7405883" y="2637759"/>
          <a:ext cx="2535427" cy="414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EC5FF"/>
              </a:solidFill>
            </a:rPr>
            <a:t>Patient</a:t>
          </a:r>
          <a:r>
            <a:rPr lang="en-US" sz="1800" baseline="0">
              <a:solidFill>
                <a:srgbClr val="CEC5FF"/>
              </a:solidFill>
            </a:rPr>
            <a:t> Satisfaction Score</a:t>
          </a:r>
          <a:endParaRPr lang="en-US" sz="1800">
            <a:solidFill>
              <a:srgbClr val="CEC5FF"/>
            </a:solidFill>
          </a:endParaRPr>
        </a:p>
      </xdr:txBody>
    </xdr:sp>
    <xdr:clientData/>
  </xdr:twoCellAnchor>
  <xdr:twoCellAnchor>
    <xdr:from>
      <xdr:col>5</xdr:col>
      <xdr:colOff>88527</xdr:colOff>
      <xdr:row>11</xdr:row>
      <xdr:rowOff>125575</xdr:rowOff>
    </xdr:from>
    <xdr:to>
      <xdr:col>6</xdr:col>
      <xdr:colOff>437990</xdr:colOff>
      <xdr:row>14</xdr:row>
      <xdr:rowOff>16864</xdr:rowOff>
    </xdr:to>
    <xdr:sp macro="" textlink="'Pivot Table'!B3">
      <xdr:nvSpPr>
        <xdr:cNvPr id="44" name="TextBox 43">
          <a:extLst>
            <a:ext uri="{FF2B5EF4-FFF2-40B4-BE49-F238E27FC236}">
              <a16:creationId xmlns:a16="http://schemas.microsoft.com/office/drawing/2014/main" id="{B99F657E-E798-5F76-B287-F5B1D76179F9}"/>
            </a:ext>
          </a:extLst>
        </xdr:cNvPr>
        <xdr:cNvSpPr txBox="1"/>
      </xdr:nvSpPr>
      <xdr:spPr>
        <a:xfrm>
          <a:off x="3125484" y="2251445"/>
          <a:ext cx="956854" cy="471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09CB29-3593-4EED-B77B-87C7EBB0564E}" type="TxLink">
            <a:rPr lang="en-US" sz="2800" b="0" i="0" u="none" strike="noStrike">
              <a:solidFill>
                <a:srgbClr val="CEC5FF"/>
              </a:solidFill>
              <a:latin typeface="Aptos Narrow"/>
            </a:rPr>
            <a:pPr/>
            <a:t>488</a:t>
          </a:fld>
          <a:endParaRPr lang="en-US" sz="2800">
            <a:solidFill>
              <a:srgbClr val="CEC5FF"/>
            </a:solidFill>
          </a:endParaRPr>
        </a:p>
      </xdr:txBody>
    </xdr:sp>
    <xdr:clientData/>
  </xdr:twoCellAnchor>
  <xdr:twoCellAnchor>
    <xdr:from>
      <xdr:col>9</xdr:col>
      <xdr:colOff>145845</xdr:colOff>
      <xdr:row>11</xdr:row>
      <xdr:rowOff>111448</xdr:rowOff>
    </xdr:from>
    <xdr:to>
      <xdr:col>10</xdr:col>
      <xdr:colOff>538296</xdr:colOff>
      <xdr:row>13</xdr:row>
      <xdr:rowOff>167746</xdr:rowOff>
    </xdr:to>
    <xdr:sp macro="" textlink="'Pivot Table'!B11">
      <xdr:nvSpPr>
        <xdr:cNvPr id="45" name="TextBox 44">
          <a:extLst>
            <a:ext uri="{FF2B5EF4-FFF2-40B4-BE49-F238E27FC236}">
              <a16:creationId xmlns:a16="http://schemas.microsoft.com/office/drawing/2014/main" id="{91D8E76B-C6FF-88A5-6470-5036E5EE1920}"/>
            </a:ext>
          </a:extLst>
        </xdr:cNvPr>
        <xdr:cNvSpPr txBox="1"/>
      </xdr:nvSpPr>
      <xdr:spPr>
        <a:xfrm>
          <a:off x="5612367" y="2237318"/>
          <a:ext cx="999842" cy="442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EA7E77-626A-40BA-B6EF-5F24D0B95729}" type="TxLink">
            <a:rPr lang="en-US" sz="2800" b="0" i="0" u="none" strike="noStrike">
              <a:solidFill>
                <a:srgbClr val="CEC5FF"/>
              </a:solidFill>
              <a:latin typeface="Aptos Narrow"/>
            </a:rPr>
            <a:pPr/>
            <a:t>35.20</a:t>
          </a:fld>
          <a:endParaRPr lang="en-US" sz="6000">
            <a:solidFill>
              <a:srgbClr val="CEC5FF"/>
            </a:solidFill>
          </a:endParaRPr>
        </a:p>
      </xdr:txBody>
    </xdr:sp>
    <xdr:clientData/>
  </xdr:twoCellAnchor>
  <xdr:twoCellAnchor>
    <xdr:from>
      <xdr:col>13</xdr:col>
      <xdr:colOff>366344</xdr:colOff>
      <xdr:row>11</xdr:row>
      <xdr:rowOff>111448</xdr:rowOff>
    </xdr:from>
    <xdr:to>
      <xdr:col>14</xdr:col>
      <xdr:colOff>595614</xdr:colOff>
      <xdr:row>13</xdr:row>
      <xdr:rowOff>153620</xdr:rowOff>
    </xdr:to>
    <xdr:sp macro="" textlink="'Pivot Table'!B7">
      <xdr:nvSpPr>
        <xdr:cNvPr id="46" name="TextBox 45">
          <a:extLst>
            <a:ext uri="{FF2B5EF4-FFF2-40B4-BE49-F238E27FC236}">
              <a16:creationId xmlns:a16="http://schemas.microsoft.com/office/drawing/2014/main" id="{D62EFF4C-EE49-34C7-8EF4-0CDF889A4902}"/>
            </a:ext>
          </a:extLst>
        </xdr:cNvPr>
        <xdr:cNvSpPr txBox="1"/>
      </xdr:nvSpPr>
      <xdr:spPr>
        <a:xfrm>
          <a:off x="8262431" y="2237318"/>
          <a:ext cx="836661" cy="42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348C21-A969-486C-84EE-3EAF3D99330F}" type="TxLink">
            <a:rPr lang="en-US" sz="2800" b="0" i="0" u="none" strike="noStrike">
              <a:solidFill>
                <a:srgbClr val="CEC5FF"/>
              </a:solidFill>
              <a:latin typeface="Aptos Narrow"/>
            </a:rPr>
            <a:pPr/>
            <a:t>4.79</a:t>
          </a:fld>
          <a:endParaRPr lang="en-US" sz="6000">
            <a:solidFill>
              <a:srgbClr val="CEC5FF"/>
            </a:solidFill>
          </a:endParaRPr>
        </a:p>
      </xdr:txBody>
    </xdr:sp>
    <xdr:clientData/>
  </xdr:twoCellAnchor>
  <xdr:twoCellAnchor>
    <xdr:from>
      <xdr:col>6</xdr:col>
      <xdr:colOff>523966</xdr:colOff>
      <xdr:row>11</xdr:row>
      <xdr:rowOff>167954</xdr:rowOff>
    </xdr:from>
    <xdr:to>
      <xdr:col>7</xdr:col>
      <xdr:colOff>395001</xdr:colOff>
      <xdr:row>14</xdr:row>
      <xdr:rowOff>97009</xdr:rowOff>
    </xdr:to>
    <xdr:pic>
      <xdr:nvPicPr>
        <xdr:cNvPr id="48" name="Graphic 47" descr="Male profile with solid fill">
          <a:extLst>
            <a:ext uri="{FF2B5EF4-FFF2-40B4-BE49-F238E27FC236}">
              <a16:creationId xmlns:a16="http://schemas.microsoft.com/office/drawing/2014/main" id="{05EADE93-7621-B188-E047-F3365CEE49C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68314" y="2293824"/>
          <a:ext cx="478426" cy="508837"/>
        </a:xfrm>
        <a:prstGeom prst="rect">
          <a:avLst/>
        </a:prstGeom>
      </xdr:spPr>
    </xdr:pic>
    <xdr:clientData/>
  </xdr:twoCellAnchor>
  <xdr:twoCellAnchor>
    <xdr:from>
      <xdr:col>15</xdr:col>
      <xdr:colOff>237378</xdr:colOff>
      <xdr:row>11</xdr:row>
      <xdr:rowOff>139701</xdr:rowOff>
    </xdr:from>
    <xdr:to>
      <xdr:col>16</xdr:col>
      <xdr:colOff>145847</xdr:colOff>
      <xdr:row>14</xdr:row>
      <xdr:rowOff>97010</xdr:rowOff>
    </xdr:to>
    <xdr:pic>
      <xdr:nvPicPr>
        <xdr:cNvPr id="50" name="Graphic 49" descr="Subtitles with solid fill">
          <a:extLst>
            <a:ext uri="{FF2B5EF4-FFF2-40B4-BE49-F238E27FC236}">
              <a16:creationId xmlns:a16="http://schemas.microsoft.com/office/drawing/2014/main" id="{30CDF1A1-7ADA-65CE-FE83-37CD8977727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348248" y="2265571"/>
          <a:ext cx="515860" cy="537091"/>
        </a:xfrm>
        <a:prstGeom prst="rect">
          <a:avLst/>
        </a:prstGeom>
      </xdr:spPr>
    </xdr:pic>
    <xdr:clientData/>
  </xdr:twoCellAnchor>
  <xdr:twoCellAnchor>
    <xdr:from>
      <xdr:col>1</xdr:col>
      <xdr:colOff>238288</xdr:colOff>
      <xdr:row>12</xdr:row>
      <xdr:rowOff>85243</xdr:rowOff>
    </xdr:from>
    <xdr:to>
      <xdr:col>3</xdr:col>
      <xdr:colOff>146755</xdr:colOff>
      <xdr:row>40</xdr:row>
      <xdr:rowOff>11757</xdr:rowOff>
    </xdr:to>
    <mc:AlternateContent xmlns:mc="http://schemas.openxmlformats.org/markup-compatibility/2006" xmlns:a14="http://schemas.microsoft.com/office/drawing/2010/main">
      <mc:Choice Requires="a14">
        <xdr:graphicFrame macro="">
          <xdr:nvGraphicFramePr>
            <xdr:cNvPr id="60" name="Date (Month)">
              <a:extLst>
                <a:ext uri="{FF2B5EF4-FFF2-40B4-BE49-F238E27FC236}">
                  <a16:creationId xmlns:a16="http://schemas.microsoft.com/office/drawing/2014/main" id="{D6C29370-610C-49CB-9632-986D1EEBEF0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49769" y="2343021"/>
              <a:ext cx="1131430" cy="5241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395004</xdr:colOff>
      <xdr:row>14</xdr:row>
      <xdr:rowOff>59243</xdr:rowOff>
    </xdr:from>
    <xdr:to>
      <xdr:col>7</xdr:col>
      <xdr:colOff>509640</xdr:colOff>
      <xdr:row>19</xdr:row>
      <xdr:rowOff>87940</xdr:rowOff>
    </xdr:to>
    <xdr:graphicFrame macro="">
      <xdr:nvGraphicFramePr>
        <xdr:cNvPr id="61" name="Chart 60">
          <a:hlinkClick xmlns:r="http://schemas.openxmlformats.org/officeDocument/2006/relationships" r:id="rId10"/>
          <a:extLst>
            <a:ext uri="{FF2B5EF4-FFF2-40B4-BE49-F238E27FC236}">
              <a16:creationId xmlns:a16="http://schemas.microsoft.com/office/drawing/2014/main" id="{D3F38E0B-AB66-49B6-B2E8-31655EA95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570595</xdr:colOff>
      <xdr:row>14</xdr:row>
      <xdr:rowOff>16865</xdr:rowOff>
    </xdr:from>
    <xdr:to>
      <xdr:col>12</xdr:col>
      <xdr:colOff>28935</xdr:colOff>
      <xdr:row>19</xdr:row>
      <xdr:rowOff>73819</xdr:rowOff>
    </xdr:to>
    <xdr:graphicFrame macro="">
      <xdr:nvGraphicFramePr>
        <xdr:cNvPr id="63" name="Chart 62">
          <a:hlinkClick xmlns:r="http://schemas.openxmlformats.org/officeDocument/2006/relationships" r:id="rId10"/>
          <a:extLst>
            <a:ext uri="{FF2B5EF4-FFF2-40B4-BE49-F238E27FC236}">
              <a16:creationId xmlns:a16="http://schemas.microsoft.com/office/drawing/2014/main" id="{03579A06-7635-4334-9639-617D4F245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117187</xdr:colOff>
      <xdr:row>14</xdr:row>
      <xdr:rowOff>9914</xdr:rowOff>
    </xdr:from>
    <xdr:to>
      <xdr:col>16</xdr:col>
      <xdr:colOff>208719</xdr:colOff>
      <xdr:row>19</xdr:row>
      <xdr:rowOff>73818</xdr:rowOff>
    </xdr:to>
    <xdr:graphicFrame macro="">
      <xdr:nvGraphicFramePr>
        <xdr:cNvPr id="66" name="Chart 65">
          <a:hlinkClick xmlns:r="http://schemas.openxmlformats.org/officeDocument/2006/relationships" r:id="rId10"/>
          <a:extLst>
            <a:ext uri="{FF2B5EF4-FFF2-40B4-BE49-F238E27FC236}">
              <a16:creationId xmlns:a16="http://schemas.microsoft.com/office/drawing/2014/main" id="{B0A52A8A-A146-4189-A3AA-2187473E4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xdr:from>
          <xdr:col>3</xdr:col>
          <xdr:colOff>581284</xdr:colOff>
          <xdr:row>20</xdr:row>
          <xdr:rowOff>41711</xdr:rowOff>
        </xdr:from>
        <xdr:to>
          <xdr:col>16</xdr:col>
          <xdr:colOff>31210</xdr:colOff>
          <xdr:row>26</xdr:row>
          <xdr:rowOff>12834</xdr:rowOff>
        </xdr:to>
        <xdr:pic>
          <xdr:nvPicPr>
            <xdr:cNvPr id="31" name="Picture 30">
              <a:extLst>
                <a:ext uri="{FF2B5EF4-FFF2-40B4-BE49-F238E27FC236}">
                  <a16:creationId xmlns:a16="http://schemas.microsoft.com/office/drawing/2014/main" id="{FCE5A690-E354-CF59-E8FB-85A49AC1A909}"/>
                </a:ext>
              </a:extLst>
            </xdr:cNvPr>
            <xdr:cNvPicPr>
              <a:picLocks noChangeAspect="1" noChangeArrowheads="1"/>
              <a:extLst>
                <a:ext uri="{84589F7E-364E-4C9E-8A38-B11213B215E9}">
                  <a14:cameraTool cellRange="'Pivot Table'!$R$2:$U$4" spid="_x0000_s2101"/>
                </a:ext>
              </a:extLst>
            </xdr:cNvPicPr>
          </xdr:nvPicPr>
          <xdr:blipFill>
            <a:blip xmlns:r="http://schemas.openxmlformats.org/officeDocument/2006/relationships" r:embed="rId14"/>
            <a:srcRect/>
            <a:stretch>
              <a:fillRect/>
            </a:stretch>
          </xdr:blipFill>
          <xdr:spPr bwMode="auto">
            <a:xfrm>
              <a:off x="2403458" y="3948341"/>
              <a:ext cx="7346013" cy="1130689"/>
            </a:xfrm>
            <a:prstGeom prst="roundRect">
              <a:avLst>
                <a:gd name="adj" fmla="val 34329"/>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3</xdr:col>
      <xdr:colOff>538292</xdr:colOff>
      <xdr:row>26</xdr:row>
      <xdr:rowOff>135358</xdr:rowOff>
    </xdr:from>
    <xdr:to>
      <xdr:col>16</xdr:col>
      <xdr:colOff>31208</xdr:colOff>
      <xdr:row>41</xdr:row>
      <xdr:rowOff>39525</xdr:rowOff>
    </xdr:to>
    <xdr:graphicFrame macro="">
      <xdr:nvGraphicFramePr>
        <xdr:cNvPr id="33" name="Chart 32">
          <a:extLst>
            <a:ext uri="{FF2B5EF4-FFF2-40B4-BE49-F238E27FC236}">
              <a16:creationId xmlns:a16="http://schemas.microsoft.com/office/drawing/2014/main" id="{53E5BFF0-0897-44BC-9113-2E1F1218E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323356</xdr:colOff>
      <xdr:row>3</xdr:row>
      <xdr:rowOff>98154</xdr:rowOff>
    </xdr:from>
    <xdr:to>
      <xdr:col>21</xdr:col>
      <xdr:colOff>59870</xdr:colOff>
      <xdr:row>17</xdr:row>
      <xdr:rowOff>124949</xdr:rowOff>
    </xdr:to>
    <xdr:graphicFrame macro="">
      <xdr:nvGraphicFramePr>
        <xdr:cNvPr id="34" name="Chart 33">
          <a:extLst>
            <a:ext uri="{FF2B5EF4-FFF2-40B4-BE49-F238E27FC236}">
              <a16:creationId xmlns:a16="http://schemas.microsoft.com/office/drawing/2014/main" id="{19121C33-12F0-4BEE-9451-0AF198C19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323352</xdr:colOff>
      <xdr:row>18</xdr:row>
      <xdr:rowOff>116170</xdr:rowOff>
    </xdr:from>
    <xdr:to>
      <xdr:col>25</xdr:col>
      <xdr:colOff>266035</xdr:colOff>
      <xdr:row>41</xdr:row>
      <xdr:rowOff>77291</xdr:rowOff>
    </xdr:to>
    <xdr:graphicFrame macro="">
      <xdr:nvGraphicFramePr>
        <xdr:cNvPr id="30" name="Chart 29">
          <a:extLst>
            <a:ext uri="{FF2B5EF4-FFF2-40B4-BE49-F238E27FC236}">
              <a16:creationId xmlns:a16="http://schemas.microsoft.com/office/drawing/2014/main" id="{B58BD34D-8A4C-4B53-B3E4-1136E75A8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509634</xdr:colOff>
      <xdr:row>4</xdr:row>
      <xdr:rowOff>126304</xdr:rowOff>
    </xdr:from>
    <xdr:to>
      <xdr:col>16</xdr:col>
      <xdr:colOff>110421</xdr:colOff>
      <xdr:row>10</xdr:row>
      <xdr:rowOff>13777</xdr:rowOff>
    </xdr:to>
    <mc:AlternateContent xmlns:mc="http://schemas.openxmlformats.org/markup-compatibility/2006" xmlns:a14="http://schemas.microsoft.com/office/drawing/2010/main">
      <mc:Choice Requires="a14">
        <xdr:graphicFrame macro="">
          <xdr:nvGraphicFramePr>
            <xdr:cNvPr id="32" name="Date (Year)">
              <a:extLst>
                <a:ext uri="{FF2B5EF4-FFF2-40B4-BE49-F238E27FC236}">
                  <a16:creationId xmlns:a16="http://schemas.microsoft.com/office/drawing/2014/main" id="{09766DCB-8FC1-48FE-BC13-90A09ECA325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7235930" y="878897"/>
              <a:ext cx="2658195" cy="1016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285534</xdr:colOff>
      <xdr:row>3</xdr:row>
      <xdr:rowOff>11058</xdr:rowOff>
    </xdr:from>
    <xdr:to>
      <xdr:col>26</xdr:col>
      <xdr:colOff>194390</xdr:colOff>
      <xdr:row>16</xdr:row>
      <xdr:rowOff>172816</xdr:rowOff>
    </xdr:to>
    <xdr:graphicFrame macro="">
      <xdr:nvGraphicFramePr>
        <xdr:cNvPr id="36" name="Chart 35">
          <a:extLst>
            <a:ext uri="{FF2B5EF4-FFF2-40B4-BE49-F238E27FC236}">
              <a16:creationId xmlns:a16="http://schemas.microsoft.com/office/drawing/2014/main" id="{ADD6B218-0ABC-40E5-812C-D903B3A40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24</xdr:col>
      <xdr:colOff>152200</xdr:colOff>
      <xdr:row>15</xdr:row>
      <xdr:rowOff>57547</xdr:rowOff>
    </xdr:from>
    <xdr:to>
      <xdr:col>25</xdr:col>
      <xdr:colOff>144459</xdr:colOff>
      <xdr:row>16</xdr:row>
      <xdr:rowOff>26912</xdr:rowOff>
    </xdr:to>
    <xdr:sp macro="" textlink="">
      <xdr:nvSpPr>
        <xdr:cNvPr id="38" name="TextBox 37">
          <a:extLst>
            <a:ext uri="{FF2B5EF4-FFF2-40B4-BE49-F238E27FC236}">
              <a16:creationId xmlns:a16="http://schemas.microsoft.com/office/drawing/2014/main" id="{E61913ED-0B63-8FA4-68E4-79722660FCAF}"/>
            </a:ext>
          </a:extLst>
        </xdr:cNvPr>
        <xdr:cNvSpPr txBox="1"/>
      </xdr:nvSpPr>
      <xdr:spPr>
        <a:xfrm>
          <a:off x="14729591" y="2956460"/>
          <a:ext cx="599651" cy="162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CEC5FF"/>
              </a:solidFill>
            </a:rPr>
            <a:t>Female</a:t>
          </a:r>
        </a:p>
      </xdr:txBody>
    </xdr:sp>
    <xdr:clientData/>
  </xdr:twoCellAnchor>
  <xdr:twoCellAnchor>
    <xdr:from>
      <xdr:col>8</xdr:col>
      <xdr:colOff>55215</xdr:colOff>
      <xdr:row>1</xdr:row>
      <xdr:rowOff>110435</xdr:rowOff>
    </xdr:from>
    <xdr:to>
      <xdr:col>16</xdr:col>
      <xdr:colOff>179454</xdr:colOff>
      <xdr:row>3</xdr:row>
      <xdr:rowOff>0</xdr:rowOff>
    </xdr:to>
    <xdr:sp macro="" textlink="">
      <xdr:nvSpPr>
        <xdr:cNvPr id="29" name="TextBox 28">
          <a:extLst>
            <a:ext uri="{FF2B5EF4-FFF2-40B4-BE49-F238E27FC236}">
              <a16:creationId xmlns:a16="http://schemas.microsoft.com/office/drawing/2014/main" id="{4B98A279-E703-3665-4D8E-7F6E2D59BCDD}"/>
            </a:ext>
          </a:extLst>
        </xdr:cNvPr>
        <xdr:cNvSpPr txBox="1"/>
      </xdr:nvSpPr>
      <xdr:spPr>
        <a:xfrm>
          <a:off x="4914345" y="303696"/>
          <a:ext cx="4983370" cy="27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rgbClr val="D9D1FF"/>
              </a:solidFill>
            </a:rPr>
            <a:t>Data Period:</a:t>
          </a:r>
          <a:r>
            <a:rPr lang="en-US" sz="2000" baseline="0">
              <a:solidFill>
                <a:srgbClr val="D9D1FF"/>
              </a:solidFill>
            </a:rPr>
            <a:t> April 2023 - October 2024</a:t>
          </a:r>
          <a:endParaRPr lang="en-US" sz="2000">
            <a:solidFill>
              <a:srgbClr val="D9D1FF"/>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591925</xdr:colOff>
      <xdr:row>0</xdr:row>
      <xdr:rowOff>113111</xdr:rowOff>
    </xdr:from>
    <xdr:to>
      <xdr:col>14</xdr:col>
      <xdr:colOff>1978</xdr:colOff>
      <xdr:row>15</xdr:row>
      <xdr:rowOff>19846</xdr:rowOff>
    </xdr:to>
    <xdr:graphicFrame macro="">
      <xdr:nvGraphicFramePr>
        <xdr:cNvPr id="4" name="Chart 3">
          <a:extLst>
            <a:ext uri="{FF2B5EF4-FFF2-40B4-BE49-F238E27FC236}">
              <a16:creationId xmlns:a16="http://schemas.microsoft.com/office/drawing/2014/main" id="{21E25A79-E3F8-4A30-80EA-7366809EA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597628</xdr:colOff>
      <xdr:row>15</xdr:row>
      <xdr:rowOff>68196</xdr:rowOff>
    </xdr:from>
    <xdr:to>
      <xdr:col>25</xdr:col>
      <xdr:colOff>107813</xdr:colOff>
      <xdr:row>28</xdr:row>
      <xdr:rowOff>144860</xdr:rowOff>
    </xdr:to>
    <xdr:graphicFrame macro="">
      <xdr:nvGraphicFramePr>
        <xdr:cNvPr id="5" name="Chart 4">
          <a:extLst>
            <a:ext uri="{FF2B5EF4-FFF2-40B4-BE49-F238E27FC236}">
              <a16:creationId xmlns:a16="http://schemas.microsoft.com/office/drawing/2014/main" id="{82F12FEE-984E-4EC3-948B-9D087D03F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76070</xdr:colOff>
      <xdr:row>0</xdr:row>
      <xdr:rowOff>123032</xdr:rowOff>
    </xdr:from>
    <xdr:to>
      <xdr:col>25</xdr:col>
      <xdr:colOff>105571</xdr:colOff>
      <xdr:row>15</xdr:row>
      <xdr:rowOff>19184</xdr:rowOff>
    </xdr:to>
    <xdr:graphicFrame macro="">
      <xdr:nvGraphicFramePr>
        <xdr:cNvPr id="6" name="Chart 5">
          <a:extLst>
            <a:ext uri="{FF2B5EF4-FFF2-40B4-BE49-F238E27FC236}">
              <a16:creationId xmlns:a16="http://schemas.microsoft.com/office/drawing/2014/main" id="{937CD18B-6A32-46B3-A06E-75324C820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181534</xdr:colOff>
      <xdr:row>9</xdr:row>
      <xdr:rowOff>93266</xdr:rowOff>
    </xdr:from>
    <xdr:to>
      <xdr:col>3</xdr:col>
      <xdr:colOff>506016</xdr:colOff>
      <xdr:row>28</xdr:row>
      <xdr:rowOff>168671</xdr:rowOff>
    </xdr:to>
    <mc:AlternateContent xmlns:mc="http://schemas.openxmlformats.org/markup-compatibility/2006" xmlns:a14="http://schemas.microsoft.com/office/drawing/2010/main">
      <mc:Choice Requires="a14">
        <xdr:graphicFrame macro="">
          <xdr:nvGraphicFramePr>
            <xdr:cNvPr id="2" name="Date (Month) 1">
              <a:extLst>
                <a:ext uri="{FF2B5EF4-FFF2-40B4-BE49-F238E27FC236}">
                  <a16:creationId xmlns:a16="http://schemas.microsoft.com/office/drawing/2014/main" id="{1186AC2D-5CB9-4460-95E4-5571F34B47D9}"/>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81534" y="1789907"/>
              <a:ext cx="2140185" cy="36572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194467</xdr:colOff>
      <xdr:row>0</xdr:row>
      <xdr:rowOff>81361</xdr:rowOff>
    </xdr:from>
    <xdr:to>
      <xdr:col>2</xdr:col>
      <xdr:colOff>12567</xdr:colOff>
      <xdr:row>5</xdr:row>
      <xdr:rowOff>107887</xdr:rowOff>
    </xdr:to>
    <xdr:pic>
      <xdr:nvPicPr>
        <xdr:cNvPr id="9" name="Graphic 8" descr="Bar graph with upward trend with solid fill">
          <a:hlinkClick xmlns:r="http://schemas.openxmlformats.org/officeDocument/2006/relationships" r:id="rId4"/>
          <a:extLst>
            <a:ext uri="{FF2B5EF4-FFF2-40B4-BE49-F238E27FC236}">
              <a16:creationId xmlns:a16="http://schemas.microsoft.com/office/drawing/2014/main" id="{AF32430C-219E-B144-EE4B-CAC4CD0C82F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4467" y="81361"/>
          <a:ext cx="1028569" cy="969104"/>
        </a:xfrm>
        <a:prstGeom prst="rect">
          <a:avLst/>
        </a:prstGeom>
      </xdr:spPr>
    </xdr:pic>
    <xdr:clientData/>
  </xdr:twoCellAnchor>
  <xdr:twoCellAnchor>
    <xdr:from>
      <xdr:col>2</xdr:col>
      <xdr:colOff>65487</xdr:colOff>
      <xdr:row>0</xdr:row>
      <xdr:rowOff>49610</xdr:rowOff>
    </xdr:from>
    <xdr:to>
      <xdr:col>3</xdr:col>
      <xdr:colOff>501389</xdr:colOff>
      <xdr:row>5</xdr:row>
      <xdr:rowOff>91943</xdr:rowOff>
    </xdr:to>
    <xdr:pic>
      <xdr:nvPicPr>
        <xdr:cNvPr id="11" name="Graphic 10" descr="Home with solid fill">
          <a:hlinkClick xmlns:r="http://schemas.openxmlformats.org/officeDocument/2006/relationships" r:id="rId7"/>
          <a:extLst>
            <a:ext uri="{FF2B5EF4-FFF2-40B4-BE49-F238E27FC236}">
              <a16:creationId xmlns:a16="http://schemas.microsoft.com/office/drawing/2014/main" id="{E5ED9BEF-5E17-17FD-F7F0-DAE93796F7F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75956" y="49610"/>
          <a:ext cx="1041136" cy="984911"/>
        </a:xfrm>
        <a:prstGeom prst="rect">
          <a:avLst/>
        </a:prstGeom>
      </xdr:spPr>
    </xdr:pic>
    <xdr:clientData/>
  </xdr:twoCellAnchor>
  <xdr:twoCellAnchor>
    <xdr:from>
      <xdr:col>0</xdr:col>
      <xdr:colOff>194469</xdr:colOff>
      <xdr:row>5</xdr:row>
      <xdr:rowOff>41012</xdr:rowOff>
    </xdr:from>
    <xdr:to>
      <xdr:col>3</xdr:col>
      <xdr:colOff>522552</xdr:colOff>
      <xdr:row>9</xdr:row>
      <xdr:rowOff>70777</xdr:rowOff>
    </xdr:to>
    <mc:AlternateContent xmlns:mc="http://schemas.openxmlformats.org/markup-compatibility/2006" xmlns:a14="http://schemas.microsoft.com/office/drawing/2010/main">
      <mc:Choice Requires="a14">
        <xdr:graphicFrame macro="">
          <xdr:nvGraphicFramePr>
            <xdr:cNvPr id="3" name="Date (Year) 1">
              <a:extLst>
                <a:ext uri="{FF2B5EF4-FFF2-40B4-BE49-F238E27FC236}">
                  <a16:creationId xmlns:a16="http://schemas.microsoft.com/office/drawing/2014/main" id="{4BB863C3-F1FE-4D9B-B988-74CB0288C78E}"/>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194469" y="983590"/>
              <a:ext cx="2143786" cy="7838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19</xdr:col>
      <xdr:colOff>606238</xdr:colOff>
      <xdr:row>1</xdr:row>
      <xdr:rowOff>68354</xdr:rowOff>
    </xdr:from>
    <xdr:to>
      <xdr:col>21</xdr:col>
      <xdr:colOff>355879</xdr:colOff>
      <xdr:row>4</xdr:row>
      <xdr:rowOff>156882</xdr:rowOff>
    </xdr:to>
    <xdr:graphicFrame macro="">
      <xdr:nvGraphicFramePr>
        <xdr:cNvPr id="3" name="Chart 2">
          <a:extLst>
            <a:ext uri="{FF2B5EF4-FFF2-40B4-BE49-F238E27FC236}">
              <a16:creationId xmlns:a16="http://schemas.microsoft.com/office/drawing/2014/main" id="{73688AE1-393A-E879-63A9-9E2D33B1A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243933</xdr:colOff>
      <xdr:row>5</xdr:row>
      <xdr:rowOff>11616</xdr:rowOff>
    </xdr:from>
    <xdr:to>
      <xdr:col>17</xdr:col>
      <xdr:colOff>1158333</xdr:colOff>
      <xdr:row>10</xdr:row>
      <xdr:rowOff>2398</xdr:rowOff>
    </xdr:to>
    <xdr:pic>
      <xdr:nvPicPr>
        <xdr:cNvPr id="6" name="Graphic 5" descr="Man with solid fill">
          <a:extLst>
            <a:ext uri="{FF2B5EF4-FFF2-40B4-BE49-F238E27FC236}">
              <a16:creationId xmlns:a16="http://schemas.microsoft.com/office/drawing/2014/main" id="{D84A7767-5FA3-0A06-1529-736A55756ED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957073" y="940884"/>
          <a:ext cx="914400" cy="914400"/>
        </a:xfrm>
        <a:prstGeom prst="rect">
          <a:avLst/>
        </a:prstGeom>
      </xdr:spPr>
    </xdr:pic>
    <xdr:clientData/>
  </xdr:twoCellAnchor>
  <xdr:twoCellAnchor editAs="oneCell">
    <xdr:from>
      <xdr:col>18</xdr:col>
      <xdr:colOff>243933</xdr:colOff>
      <xdr:row>4</xdr:row>
      <xdr:rowOff>58079</xdr:rowOff>
    </xdr:from>
    <xdr:to>
      <xdr:col>19</xdr:col>
      <xdr:colOff>229065</xdr:colOff>
      <xdr:row>9</xdr:row>
      <xdr:rowOff>43211</xdr:rowOff>
    </xdr:to>
    <xdr:pic>
      <xdr:nvPicPr>
        <xdr:cNvPr id="8" name="Graphic 7" descr="Woman with solid fill">
          <a:extLst>
            <a:ext uri="{FF2B5EF4-FFF2-40B4-BE49-F238E27FC236}">
              <a16:creationId xmlns:a16="http://schemas.microsoft.com/office/drawing/2014/main" id="{79D938B9-8ACA-556D-127C-58E041F8D42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0513598" y="801494"/>
          <a:ext cx="914400" cy="914400"/>
        </a:xfrm>
        <a:prstGeom prst="rect">
          <a:avLst/>
        </a:prstGeom>
      </xdr:spPr>
    </xdr:pic>
    <xdr:clientData/>
  </xdr:twoCellAnchor>
  <xdr:twoCellAnchor editAs="oneCell">
    <xdr:from>
      <xdr:col>17</xdr:col>
      <xdr:colOff>313629</xdr:colOff>
      <xdr:row>10</xdr:row>
      <xdr:rowOff>81310</xdr:rowOff>
    </xdr:from>
    <xdr:to>
      <xdr:col>17</xdr:col>
      <xdr:colOff>1228029</xdr:colOff>
      <xdr:row>15</xdr:row>
      <xdr:rowOff>66442</xdr:rowOff>
    </xdr:to>
    <xdr:pic>
      <xdr:nvPicPr>
        <xdr:cNvPr id="9" name="Graphic 8" descr="Man with solid fill">
          <a:extLst>
            <a:ext uri="{FF2B5EF4-FFF2-40B4-BE49-F238E27FC236}">
              <a16:creationId xmlns:a16="http://schemas.microsoft.com/office/drawing/2014/main" id="{AC2A16F0-265F-6DDB-8746-0ADF66F08A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9026769" y="1939847"/>
          <a:ext cx="914400" cy="914400"/>
        </a:xfrm>
        <a:prstGeom prst="rect">
          <a:avLst/>
        </a:prstGeom>
      </xdr:spPr>
    </xdr:pic>
    <xdr:clientData/>
  </xdr:twoCellAnchor>
  <xdr:twoCellAnchor editAs="oneCell">
    <xdr:from>
      <xdr:col>18</xdr:col>
      <xdr:colOff>139390</xdr:colOff>
      <xdr:row>9</xdr:row>
      <xdr:rowOff>127774</xdr:rowOff>
    </xdr:from>
    <xdr:to>
      <xdr:col>19</xdr:col>
      <xdr:colOff>124522</xdr:colOff>
      <xdr:row>14</xdr:row>
      <xdr:rowOff>112906</xdr:rowOff>
    </xdr:to>
    <xdr:pic>
      <xdr:nvPicPr>
        <xdr:cNvPr id="10" name="Graphic 9" descr="Woman with solid fill">
          <a:extLst>
            <a:ext uri="{FF2B5EF4-FFF2-40B4-BE49-F238E27FC236}">
              <a16:creationId xmlns:a16="http://schemas.microsoft.com/office/drawing/2014/main" id="{0CD85CBE-328A-41E6-91E6-62EC2A33A7E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409055" y="1800457"/>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7.945704513892" createdVersion="5" refreshedVersion="8" minRefreshableVersion="3" recordCount="0" supportSubquery="1" supportAdvancedDrill="1" xr:uid="{EBAA0AC0-447E-4773-B54A-B7761F30195A}">
  <cacheSource type="external" connectionId="3"/>
  <cacheFields count="4">
    <cacheField name="[Measures].[Count of Patient Id]" caption="Count of Patient Id" numFmtId="0" hierarchy="23" level="32767"/>
    <cacheField name="[Calendar].[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1"/>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Calculated Column 2]" caption="Calculated Column 2" attribute="1" defaultMemberUniqueName="[Hospital Emergency Room Data  1].[Calculated Column 2].[All]" allUniqueName="[Hospital Emergency Room Data  1].[Calculated Column 2].[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7.94570462963" createdVersion="5" refreshedVersion="8" minRefreshableVersion="3" recordCount="0" supportSubquery="1" supportAdvancedDrill="1" xr:uid="{6318621C-7F43-4018-ACD7-CC8DFFD9C4D0}">
  <cacheSource type="external" connectionId="3"/>
  <cacheFields count="3">
    <cacheField name="[Measures].[Count of Patient Id]" caption="Count of Patient Id" numFmtId="0" hierarchy="23"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Calculated Column 2]" caption="Calculated Column 2" attribute="1" defaultMemberUniqueName="[Hospital Emergency Room Data  1].[Calculated Column 2].[All]" allUniqueName="[Hospital Emergency Room Data  1].[Calculated Column 2].[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7.945705092592" createdVersion="5" refreshedVersion="8" minRefreshableVersion="3" recordCount="0" supportSubquery="1" supportAdvancedDrill="1" xr:uid="{9538EA79-B9BD-417F-9ABB-2222F327FA75}">
  <cacheSource type="external" connectionId="3"/>
  <cacheFields count="3">
    <cacheField name="[Measures].[Average of Patient Satisfaction Score]" caption="Average of Patient Satisfaction Score" numFmtId="0" hierarchy="26"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Calculated Column 2]" caption="Calculated Column 2" attribute="1" defaultMemberUniqueName="[Hospital Emergency Room Data  1].[Calculated Column 2].[All]" allUniqueName="[Hospital Emergency Room Data  1].[Calculated Column 2].[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7.945705555554" createdVersion="5" refreshedVersion="8" minRefreshableVersion="3" recordCount="0" supportSubquery="1" supportAdvancedDrill="1" xr:uid="{CD9833A2-7FF1-4D55-8563-B8702DD6F5E0}">
  <cacheSource type="external" connectionId="3"/>
  <cacheFields count="3">
    <cacheField name="[Measures].[Average of Patient Waittime]" caption="Average of Patient Waittime" numFmtId="0" hierarchy="27"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Calculated Column 2]" caption="Calculated Column 2" attribute="1" defaultMemberUniqueName="[Hospital Emergency Room Data  1].[Calculated Column 2].[All]" allUniqueName="[Hospital Emergency Room Data  1].[Calculated Column 2].[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7.945706134262" createdVersion="5" refreshedVersion="8" minRefreshableVersion="3" recordCount="0" supportSubquery="1" supportAdvancedDrill="1" xr:uid="{8C005A3F-1EB7-4101-A03E-50EE107A0DB5}">
  <cacheSource type="external" connectionId="3"/>
  <cacheFields count="4">
    <cacheField name="[Calendar].[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0"/>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Calculated Column 2]" caption="Calculated Column 2" attribute="1" defaultMemberUniqueName="[Hospital Emergency Room Data  1].[Calculated Column 2].[All]" allUniqueName="[Hospital Emergency Room Data  1].[Calculated Column 2].[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7.945706481485" createdVersion="5" refreshedVersion="8" minRefreshableVersion="3" recordCount="0" supportSubquery="1" supportAdvancedDrill="1" xr:uid="{40C45DF2-9EA8-4C6E-BCA1-4D41893F9445}">
  <cacheSource type="external" connectionId="3"/>
  <cacheFields count="4">
    <cacheField name="[Calendar].[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Date (Month)].[Date (Month)]" caption="Date (Month)" numFmtId="0" hierarchy="1" level="1">
      <sharedItems containsSemiMixedTypes="0" containsNonDate="0" containsString="0"/>
    </cacheField>
    <cacheField name="[Measures].[Average of Patient Satisfaction Score]" caption="Average of Patient Satisfaction Score" numFmtId="0" hierarchy="26" level="32767"/>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0"/>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Calculated Column 2]" caption="Calculated Column 2" attribute="1" defaultMemberUniqueName="[Hospital Emergency Room Data  1].[Calculated Column 2].[All]" allUniqueName="[Hospital Emergency Room Data  1].[Calculated Column 2].[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7.945706828701" createdVersion="5" refreshedVersion="8" minRefreshableVersion="3" recordCount="0" supportSubquery="1" supportAdvancedDrill="1" xr:uid="{29E0043A-F477-43A0-8A66-03184B79E135}">
  <cacheSource type="external" connectionId="3"/>
  <cacheFields count="5">
    <cacheField name="[Calendar].[Date (Month)].[Date (Month)]" caption="Date (Month)" numFmtId="0" hierarchy="1" level="1">
      <sharedItems containsSemiMixedTypes="0" containsNonDate="0" containsString="0"/>
    </cacheField>
    <cacheField name="[Hospital Emergency Room Data  1].[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8" level="32767"/>
    <cacheField name="[Calendar].[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1"/>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Calculated Column 2]" caption="Calculated Column 2" attribute="1" defaultMemberUniqueName="[Hospital Emergency Room Data  1].[Calculated Column 2].[All]" allUniqueName="[Hospital Emergency Room Data  1].[Calculated Column 2].[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7.945707638886" createdVersion="5" refreshedVersion="8" minRefreshableVersion="3" recordCount="0" supportSubquery="1" supportAdvancedDrill="1" xr:uid="{985FEC90-1446-40C7-B993-A42A86B82BB2}">
  <cacheSource type="external" connectionId="3"/>
  <cacheFields count="4">
    <cacheField name="[Calendar].[Date (Month)].[Date (Month)]" caption="Date (Month)" numFmtId="0" hierarchy="1" level="1">
      <sharedItems containsSemiMixedTypes="0" containsNonDate="0" containsString="0"/>
    </cacheField>
    <cacheField name="[Hospital Emergency Room Data  1].[Calculated Column 1].[Calculated Column 1]" caption="Calculated Column 1" numFmtId="0" hierarchy="16" level="1">
      <sharedItems count="8">
        <s v="0-09"/>
        <s v="10-19"/>
        <s v="20-29"/>
        <s v="30-39"/>
        <s v="40-49"/>
        <s v="50-59"/>
        <s v="60-69"/>
        <s v="70-79"/>
      </sharedItems>
    </cacheField>
    <cacheField name="[Measures].[Count of Calculated Column 1]" caption="Count of Calculated Column 1" numFmtId="0" hierarchy="29" level="32767"/>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2" memberValueDatatype="130" unbalanced="0">
      <fieldsUsage count="2">
        <fieldUsage x="-1"/>
        <fieldUsage x="1"/>
      </fieldsUsage>
    </cacheHierarchy>
    <cacheHierarchy uniqueName="[Hospital Emergency Room Data  1].[Calculated Column 2]" caption="Calculated Column 2" attribute="1" defaultMemberUniqueName="[Hospital Emergency Room Data  1].[Calculated Column 2].[All]" allUniqueName="[Hospital Emergency Room Data  1].[Calculated Column 2].[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7.945708333333" createdVersion="5" refreshedVersion="8" minRefreshableVersion="3" recordCount="0" supportSubquery="1" supportAdvancedDrill="1" xr:uid="{D0CA73A6-E8A2-48DB-A6C4-7DF906F76FD9}">
  <cacheSource type="external" connectionId="3"/>
  <cacheFields count="4">
    <cacheField name="[Calendar].[Date (Month)].[Date (Month)]" caption="Date (Month)" numFmtId="0" hierarchy="1" level="1">
      <sharedItems containsSemiMixedTypes="0" containsNonDate="0" containsString="0"/>
    </cacheField>
    <cacheField name="[Hospital Emergency Room Data  1].[Calculated Column 2].[Calculated Column 2]" caption="Calculated Column 2" numFmtId="0" hierarchy="17" level="1">
      <sharedItems count="2">
        <s v="Delay"/>
        <s v="On Time"/>
      </sharedItems>
    </cacheField>
    <cacheField name="[Measures].[Count of Calculated Column 2]" caption="Count of Calculated Column 2" numFmtId="0" hierarchy="30" level="32767"/>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Calculated Column 2]" caption="Calculated Column 2" attribute="1" defaultMemberUniqueName="[Hospital Emergency Room Data  1].[Calculated Column 2].[All]" allUniqueName="[Hospital Emergency Room Data  1].[Calculated Column 2].[All]" dimensionUniqueName="[Hospital Emergency Room Data  1]" displayFolder="" count="2" memberValueDatatype="130" unbalanced="0">
      <fieldsUsage count="2">
        <fieldUsage x="-1"/>
        <fieldUsage x="1"/>
      </fieldsUsage>
    </cacheHierarchy>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7.945709027779" createdVersion="5" refreshedVersion="8" minRefreshableVersion="3" recordCount="0" supportSubquery="1" supportAdvancedDrill="1" xr:uid="{A9862AEF-BFCC-415E-AD95-A79B9C6F3C9D}">
  <cacheSource type="external" connectionId="3"/>
  <cacheFields count="4">
    <cacheField name="[Calendar].[Date (Month)].[Date (Month)]" caption="Date (Month)" numFmtId="0" hierarchy="1" level="1">
      <sharedItems containsSemiMixedTypes="0" containsNonDate="0" containsString="0"/>
    </cacheField>
    <cacheField name="[Hospital Emergency Room Data  1].[Patient Gender].[Patient Gender]" caption="Patient Gender" numFmtId="0" hierarchy="9" level="1">
      <sharedItems count="2">
        <s v="Female"/>
        <s v="Male"/>
      </sharedItems>
    </cacheField>
    <cacheField name="[Measures].[Count of Patient Gender]" caption="Count of Patient Gender" numFmtId="0" hierarchy="31" level="32767"/>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1"/>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Calculated Column 2]" caption="Calculated Column 2" attribute="1" defaultMemberUniqueName="[Hospital Emergency Room Data  1].[Calculated Column 2].[All]" allUniqueName="[Hospital Emergency Room Data  1].[Calculated Column 2].[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7.945709375002" createdVersion="5" refreshedVersion="8" minRefreshableVersion="3" recordCount="0" supportSubquery="1" supportAdvancedDrill="1" xr:uid="{42C5AA97-5109-49F0-A4A6-B44B0FC59AE3}">
  <cacheSource type="external" connectionId="3"/>
  <cacheFields count="4">
    <cacheField name="[Calendar].[Date (Month)].[Date (Month)]" caption="Date (Month)" numFmtId="0" hierarchy="1" level="1">
      <sharedItems containsSemiMixedTypes="0" containsNonDate="0" containsString="0"/>
    </cacheField>
    <cacheField name="[Hospital Emergency Room Data  1].[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1"/>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Calculated Column 2]" caption="Calculated Column 2" attribute="1" defaultMemberUniqueName="[Hospital Emergency Room Data  1].[Calculated Column 2].[All]" allUniqueName="[Hospital Emergency Room Data  1].[Calculated Column 2].[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7.945710185188" createdVersion="5" refreshedVersion="8" minRefreshableVersion="3" recordCount="0" supportSubquery="1" supportAdvancedDrill="1" xr:uid="{0EDA44BB-F467-40FA-822E-D8B00259979A}">
  <cacheSource type="external" connectionId="3"/>
  <cacheFields count="4">
    <cacheField name="[Calendar].[Date (Month)].[Date (Month)]" caption="Date (Month)" numFmtId="0" hierarchy="1" level="1">
      <sharedItems count="1">
        <s v="Jan"/>
      </sharedItems>
    </cacheField>
    <cacheField name="[Calendar].[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Date (Quarter)].[Date (Quarter)]" caption="Date (Quarter)" numFmtId="0" hierarchy="4" level="1">
      <sharedItems count="1">
        <s v="Qtr1"/>
      </sharedItems>
    </cacheField>
    <cacheField name="[Calendar].[Date (Year)].[Date (Year)]" caption="Date (Year)" numFmtId="0" hierarchy="3" level="1">
      <sharedItems count="1">
        <s v="2024"/>
      </sharedItems>
    </cacheField>
  </cacheFields>
  <cacheHierarchies count="34">
    <cacheHierarchy uniqueName="[Calendar].[Date]" caption="Date" attribute="1" time="1" defaultMemberUniqueName="[Calendar].[Date].[All]" allUniqueName="[Calendar].[Date].[All]" dimensionUniqueName="[Calendar]" displayFolder="" count="2" memberValueDatatype="7" unbalanced="0">
      <fieldsUsage count="2">
        <fieldUsage x="-1"/>
        <fieldUsage x="1"/>
      </fieldsUsage>
    </cacheHierarchy>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2"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2" memberValueDatatype="130" unbalanced="0">
      <fieldsUsage count="2">
        <fieldUsage x="-1"/>
        <fieldUsage x="2"/>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2"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2"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2"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2"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2"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2"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2"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2" memberValueDatatype="130" unbalanced="0"/>
    <cacheHierarchy uniqueName="[Hospital Emergency Room Data  1].[Calculated Column 2]" caption="Calculated Column 2" attribute="1" defaultMemberUniqueName="[Hospital Emergency Room Data  1].[Calculated Column 2].[All]" allUniqueName="[Hospital Emergency Room Data  1].[Calculated Column 2].[All]" dimensionUniqueName="[Hospital Emergency Room Data  1]" displayFolder="" count="2" memberValueDatatype="130" unbalanced="0"/>
    <cacheHierarchy uniqueName="[Calendar].[Date (Day Index)]" caption="Date (Day Index)" attribute="1" defaultMemberUniqueName="[Calendar].[Date (Day Index)].[All]" allUniqueName="[Calendar].[Date (Day Index)].[All]" dimensionUniqueName="[Calendar]" displayFolder="" count="2" memberValueDatatype="5" unbalanced="0" hidden="1"/>
    <cacheHierarchy uniqueName="[Calendar].[Date (Month Index)]" caption="Date (Month Index)" attribute="1" defaultMemberUniqueName="[Calendar].[Date (Month Index)].[All]" allUniqueName="[Calendar].[Date (Month Index)].[All]" dimensionUniqueName="[Calendar]" displayFolder="" count="2"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1" uniqueName="[Hospital Emergency Room Data  1]" caption="Hospital Emergency Room Data  1"/>
    <dimension measure="1" name="Measures" uniqueName="[Measures]" caption="Measures"/>
  </dimensions>
  <measureGroups count="2">
    <measureGroup name="Calendar" caption="Calenda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18.840722569446" createdVersion="3" refreshedVersion="8" minRefreshableVersion="3" recordCount="0" supportSubquery="1" supportAdvancedDrill="1" xr:uid="{7078FB86-23F6-41C1-B431-09D1737F56BF}">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Hospital Emergency Room Data  1].[Calculated Column 2]" caption="Calculated Column 2" attribute="1" defaultMemberUniqueName="[Hospital Emergency Room Data  1].[Calculated Column 2].[All]" allUniqueName="[Hospital Emergency Room Data  1].[Calculated Column 2].[All]" dimensionUniqueName="[Hospital Emergency Room Data  1]"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4816522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72CB24-84BE-4874-A921-32A9A7DFA0DB}" name="PivotTable2" cacheId="2541" applyNumberFormats="0" applyBorderFormats="0" applyFontFormats="0" applyPatternFormats="0" applyAlignmentFormats="0" applyWidthHeightFormats="1" dataCaption="Values" tag="a662139a-6e23-4693-a464-6b370a6ce6c3" updatedVersion="8" minRefreshableVersion="3" useAutoFormatting="1" subtotalHiddenItems="1" itemPrintTitles="1" createdVersion="5" indent="0" outline="1" outlineData="1" multipleFieldFilters="0">
  <location ref="B6:B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560">
      <pivotArea outline="0" collapsedLevelsAreSubtotals="1" fieldPosition="0"/>
    </format>
  </formats>
  <pivotHierarchies count="34">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5A59D7-7B11-480E-9AD6-08B016CF4DD5}" name="PivotTable12" cacheId="2547" applyNumberFormats="0" applyBorderFormats="0" applyFontFormats="0" applyPatternFormats="0" applyAlignmentFormats="0" applyWidthHeightFormats="1" dataCaption="Values" tag="8a469da6-07cc-4e86-b581-b7b17e0d31f8" updatedVersion="8" minRefreshableVersion="3" subtotalHiddenItems="1" itemPrintTitles="1" createdVersion="5" indent="0" outline="1" outlineData="1" multipleFieldFilters="0" chartFormat="10">
  <location ref="G2:H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164"/>
  </dataFields>
  <formats count="1">
    <format dxfId="56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0D365A-AB95-4B9E-BA5F-A9E888E1FD43}" name="PivotTable18" cacheId="2568" applyNumberFormats="0" applyBorderFormats="0" applyFontFormats="0" applyPatternFormats="0" applyAlignmentFormats="0" applyWidthHeightFormats="1" dataCaption="Values" tag="77481fe2-0d8c-4914-bfde-33caeb1de5c2" updatedVersion="8" minRefreshableVersion="3" useAutoFormatting="1" subtotalHiddenItems="1" itemPrintTitles="1" createdVersion="5" indent="0" outline="1" outlineData="1" multipleFieldFilters="0" chartFormat="14">
  <location ref="Y13:Y1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4">
    <pivotHierarchy dragToData="1"/>
    <pivotHierarchy multipleItemSelectionAllowed="1" dragToData="1">
      <members count="1" level="1">
        <member name="[Calendar].[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04AFDD-B5B3-4847-AA64-A5EA063EF2D9}" name="PivotTable1" cacheId="2538" applyNumberFormats="0" applyBorderFormats="0" applyFontFormats="0" applyPatternFormats="0" applyAlignmentFormats="0" applyWidthHeightFormats="1" dataCaption="Values" tag="77481fe2-0d8c-4914-bfde-33caeb1de5c2" updatedVersion="8" minRefreshableVersion="3" useAutoFormatting="1" subtotalHiddenItems="1" itemPrintTitles="1" createdVersion="5" indent="0" outline="1" outlineData="1" multipleFieldFilters="0">
  <location ref="B2:B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4">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531A60-80F8-4C0E-B378-AC0A18F2D018}" name="PivotTable10" cacheId="2559" applyNumberFormats="0" applyBorderFormats="0" applyFontFormats="0" applyPatternFormats="0" applyAlignmentFormats="0" applyWidthHeightFormats="1" dataCaption="Values" tag="77481fe2-0d8c-4914-bfde-33caeb1de5c2" updatedVersion="8" minRefreshableVersion="3" useAutoFormatting="1" subtotalHiddenItems="1" itemPrintTitles="1" createdVersion="5" indent="0" outline="1" outlineData="1" multipleFieldFilters="0" chartFormat="14">
  <location ref="Q17:R2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Calculated Column 2" fld="2" subtotal="count" baseField="0" baseItem="0"/>
  </dataFields>
  <chartFormats count="7">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 count="1" selected="0">
            <x v="0"/>
          </reference>
        </references>
      </pivotArea>
    </chartFormat>
    <chartFormat chart="10" format="3">
      <pivotArea type="data" outline="0" fieldPosition="0">
        <references count="2">
          <reference field="4294967294" count="1" selected="0">
            <x v="0"/>
          </reference>
          <reference field="1"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4AD527-02B9-4FB4-8F0F-A4A165EBA38D}" name="PivotTable11" cacheId="2535" applyNumberFormats="0" applyBorderFormats="0" applyFontFormats="0" applyPatternFormats="0" applyAlignmentFormats="0" applyWidthHeightFormats="1" dataCaption="Values" tag="0b141b01-c1ec-4c6c-a9e2-41a3c7c7b914" updatedVersion="8" minRefreshableVersion="3" subtotalHiddenItems="1" itemPrintTitles="1" createdVersion="5" indent="0" outline="1" outlineData="1" multipleFieldFilters="0" chartFormat="11">
  <location ref="D2:E34"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3">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358F19-D044-4ED6-B44A-21A4B5AF05BF}" name="PivotTable16" cacheId="2565" applyNumberFormats="0" applyBorderFormats="0" applyFontFormats="0" applyPatternFormats="0" applyAlignmentFormats="0" applyWidthHeightFormats="1" dataCaption="Values" tag="77481fe2-0d8c-4914-bfde-33caeb1de5c2" updatedVersion="8" minRefreshableVersion="3" useAutoFormatting="1" subtotalHiddenItems="1" itemPrintTitles="1" createdVersion="5" indent="0" outline="1" outlineData="1" multipleFieldFilters="0" chartFormat="18">
  <location ref="X2:Y1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chartFormats count="1">
    <chartFormat chart="1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CF5BEC-AEC4-4887-85A8-5787DD1DC6DB}" name="PivotTable9" cacheId="2562" applyNumberFormats="0" applyBorderFormats="0" applyFontFormats="0" applyPatternFormats="0" applyAlignmentFormats="0" applyWidthHeightFormats="1" dataCaption="Values" tag="77481fe2-0d8c-4914-bfde-33caeb1de5c2" updatedVersion="8" minRefreshableVersion="3" subtotalHiddenItems="1" itemPrintTitles="1" createdVersion="5" indent="0" outline="1" outlineData="1" multipleFieldFilters="0" chartFormat="16">
  <location ref="Q22:R2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showDataAs="percentOfTotal" baseField="0" baseItem="0" numFmtId="9"/>
  </dataFields>
  <formats count="1">
    <format dxfId="562">
      <pivotArea outline="0" collapsedLevelsAreSubtotals="1" fieldPosition="0"/>
    </format>
  </formats>
  <pivotHierarchies count="34">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0E9DD6-996F-4E48-A3A2-8B6AAF146453}" name="PivotTable4" cacheId="2553" applyNumberFormats="0" applyBorderFormats="0" applyFontFormats="0" applyPatternFormats="0" applyAlignmentFormats="0" applyWidthHeightFormats="1" dataCaption="Values" tag="6389dd8d-d31a-4e5c-ad01-a8de34625a2a" updatedVersion="8" minRefreshableVersion="3" subtotalHiddenItems="1" itemPrintTitles="1" createdVersion="5" indent="0" outline="1" outlineData="1" multipleFieldFilters="0" chartFormat="18">
  <location ref="N2:P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565">
      <pivotArea outline="0" collapsedLevelsAreSubtotals="1" fieldPosition="0"/>
    </format>
    <format dxfId="564">
      <pivotArea outline="0" collapsedLevelsAreSubtotals="1" fieldPosition="0">
        <references count="1">
          <reference field="4294967294" count="1" selected="0">
            <x v="0"/>
          </reference>
        </references>
      </pivotArea>
    </format>
    <format dxfId="563">
      <pivotArea outline="0" fieldPosition="0">
        <references count="1">
          <reference field="4294967294" count="1">
            <x v="1"/>
          </reference>
        </references>
      </pivotArea>
    </format>
  </formats>
  <chartFormats count="10">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pivotArea type="data" outline="0" fieldPosition="0">
        <references count="2">
          <reference field="4294967294" count="1" selected="0">
            <x v="0"/>
          </reference>
          <reference field="1" count="1" selected="0">
            <x v="0"/>
          </reference>
        </references>
      </pivotArea>
    </chartFormat>
    <chartFormat chart="11" format="3">
      <pivotArea type="data" outline="0" fieldPosition="0">
        <references count="2">
          <reference field="4294967294" count="1" selected="0">
            <x v="0"/>
          </reference>
          <reference field="1" count="1" selected="0">
            <x v="1"/>
          </reference>
        </references>
      </pivotArea>
    </chartFormat>
    <chartFormat chart="11" format="4">
      <pivotArea type="data" outline="0" fieldPosition="0">
        <references count="2">
          <reference field="4294967294" count="1" selected="0">
            <x v="1"/>
          </reference>
          <reference field="1" count="1" selected="0">
            <x v="1"/>
          </reference>
        </references>
      </pivotArea>
    </chartFormat>
    <chartFormat chart="11" format="5">
      <pivotArea type="data" outline="0" fieldPosition="0">
        <references count="2">
          <reference field="4294967294" count="1" selected="0">
            <x v="1"/>
          </reference>
          <reference field="1" count="1" selected="0">
            <x v="0"/>
          </reference>
        </references>
      </pivotArea>
    </chartFormat>
  </chartFormats>
  <pivotHierarchies count="35">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1FE91B-B06F-4899-B9CD-75B0E7666866}" name="PivotTable3" cacheId="2544" applyNumberFormats="0" applyBorderFormats="0" applyFontFormats="0" applyPatternFormats="0" applyAlignmentFormats="0" applyWidthHeightFormats="1" dataCaption="Values" tag="6389dd8d-d31a-4e5c-ad01-a8de34625a2a" updatedVersion="8" minRefreshableVersion="3" useAutoFormatting="1" subtotalHiddenItems="1" itemPrintTitles="1" createdVersion="5" indent="0" outline="1" outlineData="1" multipleFieldFilters="0">
  <location ref="B10:B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66">
      <pivotArea outline="0" collapsedLevelsAreSubtotals="1" fieldPosition="0"/>
    </format>
  </formats>
  <pivotHierarchies count="34">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BF359C-E453-4985-B6D6-0C4F96E49F2A}" name="PivotTable8" cacheId="2556" applyNumberFormats="0" applyBorderFormats="0" applyFontFormats="0" applyPatternFormats="0" applyAlignmentFormats="0" applyWidthHeightFormats="1" dataCaption="Values" tag="77481fe2-0d8c-4914-bfde-33caeb1de5c2" updatedVersion="8" minRefreshableVersion="3" useAutoFormatting="1" subtotalHiddenItems="1" itemPrintTitles="1" createdVersion="5" indent="0" outline="1" outlineData="1" multipleFieldFilters="0" chartFormat="8">
  <location ref="N17:O2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Calculated Column 1" fld="2"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D87F25B-6EEC-4CD8-A751-613CD43BA6F7}" name="PivotTable13" cacheId="2550" applyNumberFormats="0" applyBorderFormats="0" applyFontFormats="0" applyPatternFormats="0" applyAlignmentFormats="0" applyWidthHeightFormats="1" dataCaption="Values" tag="dcc23cec-1834-4ca0-96aa-8c28d3c8a9b6" updatedVersion="8" minRefreshableVersion="3" subtotalHiddenItems="1" itemPrintTitles="1" createdVersion="5" indent="0" outline="1" outlineData="1" multipleFieldFilters="0" chartFormat="10">
  <location ref="K2:L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164"/>
  </dataFields>
  <formats count="1">
    <format dxfId="567">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F6E59C9-805E-4D88-BAC1-10B15237BA4C}" sourceName="[Calendar].[Date (Month)]">
  <pivotTables>
    <pivotTable tabId="2" name="PivotTable11"/>
    <pivotTable tabId="2" name="PivotTable1"/>
    <pivotTable tabId="2" name="PivotTable2"/>
    <pivotTable tabId="2" name="PivotTable3"/>
    <pivotTable tabId="2" name="PivotTable12"/>
    <pivotTable tabId="2" name="PivotTable13"/>
    <pivotTable tabId="2" name="PivotTable4"/>
    <pivotTable tabId="2" name="PivotTable8"/>
    <pivotTable tabId="2" name="PivotTable10"/>
    <pivotTable tabId="2" name="PivotTable9"/>
    <pivotTable tabId="2" name="PivotTable16"/>
    <pivotTable tabId="2" name="PivotTable18"/>
  </pivotTables>
  <data>
    <olap pivotCacheId="481652284">
      <levels count="2">
        <level uniqueName="[Calendar].[Date (Month)].[(All)]" sourceCaption="(All)" count="0"/>
        <level uniqueName="[Calendar].[Date (Month)].[Date (Month)]" sourceCaption="Date (Month)" count="12">
          <ranges>
            <range startItem="0">
              <i n="[Calendar].[Date (Month)].&amp;[Jan]" c="Jan"/>
              <i n="[Calendar].[Date (Month)].&amp;[Feb]" c="Feb"/>
              <i n="[Calendar].[Date (Month)].&amp;[Mar]" c="Mar"/>
              <i n="[Calendar].[Date (Month)].&amp;[Apr]" c="Apr"/>
              <i n="[Calendar].[Date (Month)].&amp;[May]" c="May"/>
              <i n="[Calendar].[Date (Month)].&amp;[Jun]" c="Jun"/>
              <i n="[Calendar].[Date (Month)].&amp;[Jul]" c="Jul"/>
              <i n="[Calendar].[Date (Month)].&amp;[Aug]" c="Aug"/>
              <i n="[Calendar].[Date (Month)].&amp;[Sep]" c="Sep"/>
              <i n="[Calendar].[Date (Month)].&amp;[Oct]" c="Oct"/>
              <i n="[Calendar].[Date (Month)].&amp;[Nov]" c="Nov"/>
              <i n="[Calendar].[Date (Month)].&amp;[Dec]" c="Dec"/>
            </range>
          </ranges>
        </level>
      </levels>
      <selections count="1">
        <selection n="[Calendar].[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15FE0B6-58BA-40A2-B091-0B4E6CE398B1}" sourceName="[Calendar].[Date (Year)]">
  <pivotTables>
    <pivotTable tabId="2" name="PivotTable18"/>
    <pivotTable tabId="2" name="PivotTable1"/>
    <pivotTable tabId="2" name="PivotTable10"/>
    <pivotTable tabId="2" name="PivotTable11"/>
    <pivotTable tabId="2" name="PivotTable12"/>
    <pivotTable tabId="2" name="PivotTable13"/>
    <pivotTable tabId="2" name="PivotTable16"/>
    <pivotTable tabId="2" name="PivotTable2"/>
    <pivotTable tabId="2" name="PivotTable3"/>
    <pivotTable tabId="2" name="PivotTable4"/>
    <pivotTable tabId="2" name="PivotTable8"/>
    <pivotTable tabId="2" name="PivotTable9"/>
  </pivotTables>
  <data>
    <olap pivotCacheId="481652284">
      <levels count="2">
        <level uniqueName="[Calendar].[Date (Year)].[(All)]" sourceCaption="(All)" count="0"/>
        <level uniqueName="[Calendar].[Date (Year)].[Date (Year)]" sourceCaption="Date (Year)" count="2">
          <ranges>
            <range startItem="0">
              <i n="[Calendar].[Date (Year)].&amp;[2023]" c="2023"/>
              <i n="[Calendar].[Date (Year)].&amp;[2024]" c="2024"/>
            </range>
          </ranges>
        </level>
      </levels>
      <selections count="1">
        <selection n="[Calendar].[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4C8D8FD-5394-4455-BC78-9B9784505477}" cache="Slicer_Date__Month" caption="Date (Month)" showCaption="0" level="1" style="Slicer Style 1" rowHeight="393192"/>
  <slicer name="Date (Year)" xr10:uid="{9C5C6B96-9FF7-4645-BC00-E78891C16C17}" cache="Slicer_Date__Year" caption="Date (Year)" columnCount="2" showCaption="0" level="1" style="Slicer Style 1" rowHeight="9144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735F72F5-8001-4EE3-8E49-413A1CDC208A}" cache="Slicer_Date__Month" caption="Date (Month)" columnCount="3" showCaption="0" level="1" style="Slicer Style 1" rowHeight="841248"/>
  <slicer name="Date (Year) 1" xr10:uid="{58339534-6D68-45FA-A2F7-96E8DD9EC5E6}" cache="Slicer_Date__Year" caption="Date (Year)" columnCount="2" showCaption="0" level="1" style="Slicer Style 1" rowHeight="9144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12A0-3F07-4EC1-B310-52523D9263E4}">
  <sheetPr>
    <tabColor theme="7" tint="0.39997558519241921"/>
  </sheetPr>
  <dimension ref="AC11:AF21"/>
  <sheetViews>
    <sheetView tabSelected="1" zoomScale="82" zoomScaleNormal="77" workbookViewId="0"/>
  </sheetViews>
  <sheetFormatPr defaultRowHeight="15" x14ac:dyDescent="0.25"/>
  <cols>
    <col min="1" max="16384" width="9.140625" style="14"/>
  </cols>
  <sheetData>
    <row r="11" spans="32:32" x14ac:dyDescent="0.25">
      <c r="AF11" s="13"/>
    </row>
    <row r="18" spans="29:31" ht="18.75" x14ac:dyDescent="0.3">
      <c r="AC18" s="15"/>
    </row>
    <row r="21" spans="29:31" x14ac:dyDescent="0.25">
      <c r="AE21" s="1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CFADC-8CD1-44F6-9242-FB7BDAEEE74C}">
  <sheetPr>
    <tabColor theme="6" tint="0.79998168889431442"/>
  </sheetPr>
  <dimension ref="A1"/>
  <sheetViews>
    <sheetView zoomScale="96" zoomScaleNormal="90" workbookViewId="0"/>
  </sheetViews>
  <sheetFormatPr defaultRowHeight="15" x14ac:dyDescent="0.25"/>
  <cols>
    <col min="1" max="16384" width="9.14062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AD816-BD81-44D2-8CCE-D80882BCE12D}">
  <sheetPr>
    <tabColor theme="2" tint="-0.249977111117893"/>
  </sheetPr>
  <dimension ref="B2:Y34"/>
  <sheetViews>
    <sheetView topLeftCell="N1" zoomScale="91" workbookViewId="0">
      <selection activeCell="V9" sqref="V9"/>
    </sheetView>
  </sheetViews>
  <sheetFormatPr defaultRowHeight="15" x14ac:dyDescent="0.25"/>
  <cols>
    <col min="2" max="2" width="26.5703125" bestFit="1" customWidth="1"/>
    <col min="3" max="3" width="23.28515625" bestFit="1" customWidth="1"/>
    <col min="4" max="4" width="13.42578125" bestFit="1" customWidth="1"/>
    <col min="5" max="5" width="18.140625" bestFit="1" customWidth="1"/>
    <col min="6" max="6" width="11.28515625" bestFit="1" customWidth="1"/>
    <col min="7" max="7" width="13.42578125" bestFit="1" customWidth="1"/>
    <col min="8" max="8" width="26.5703125" bestFit="1" customWidth="1"/>
    <col min="9" max="10" width="8.5703125" bestFit="1" customWidth="1"/>
    <col min="11" max="11" width="13.42578125" bestFit="1" customWidth="1"/>
    <col min="12" max="12" width="34.85546875" bestFit="1" customWidth="1"/>
    <col min="13" max="13" width="8.5703125" bestFit="1" customWidth="1"/>
    <col min="14" max="14" width="13.42578125" bestFit="1" customWidth="1"/>
    <col min="15" max="15" width="28.5703125" bestFit="1" customWidth="1"/>
    <col min="16" max="16" width="15.5703125" customWidth="1"/>
    <col min="17" max="17" width="13.42578125" bestFit="1" customWidth="1"/>
    <col min="18" max="18" width="28.5703125" bestFit="1" customWidth="1"/>
    <col min="19" max="19" width="13.85546875" customWidth="1"/>
    <col min="20" max="20" width="9.140625" customWidth="1"/>
    <col min="21" max="21" width="15.5703125" customWidth="1"/>
    <col min="22" max="23" width="9.5703125" bestFit="1" customWidth="1"/>
    <col min="24" max="24" width="16.140625" bestFit="1" customWidth="1"/>
    <col min="25" max="25" width="13.42578125" bestFit="1" customWidth="1"/>
    <col min="26" max="26" width="28.5703125" bestFit="1" customWidth="1"/>
    <col min="27" max="33" width="9.5703125" bestFit="1" customWidth="1"/>
    <col min="34" max="34" width="11.28515625" bestFit="1" customWidth="1"/>
    <col min="35" max="43" width="8.5703125" bestFit="1" customWidth="1"/>
    <col min="44" max="65" width="9.5703125" bestFit="1" customWidth="1"/>
    <col min="66" max="74" width="8.5703125" bestFit="1" customWidth="1"/>
    <col min="75" max="95" width="9.5703125" bestFit="1" customWidth="1"/>
    <col min="96" max="104" width="8.5703125" bestFit="1" customWidth="1"/>
    <col min="105" max="126" width="9.5703125" bestFit="1" customWidth="1"/>
    <col min="127" max="135" width="8.5703125" bestFit="1" customWidth="1"/>
    <col min="136" max="157" width="9.5703125" bestFit="1" customWidth="1"/>
    <col min="158" max="166" width="8.5703125" bestFit="1" customWidth="1"/>
    <col min="167" max="196" width="9.5703125" bestFit="1" customWidth="1"/>
    <col min="197" max="218" width="10.5703125" bestFit="1" customWidth="1"/>
    <col min="219" max="227" width="9.5703125" bestFit="1" customWidth="1"/>
    <col min="228" max="248" width="10.5703125" bestFit="1" customWidth="1"/>
    <col min="249" max="257" width="9.5703125" bestFit="1" customWidth="1"/>
    <col min="258" max="279" width="10.5703125" bestFit="1" customWidth="1"/>
    <col min="280" max="288" width="8.5703125" bestFit="1" customWidth="1"/>
    <col min="289" max="310" width="9.5703125" bestFit="1" customWidth="1"/>
    <col min="311" max="319" width="8.5703125" bestFit="1" customWidth="1"/>
    <col min="320" max="339" width="9.5703125" bestFit="1" customWidth="1"/>
    <col min="340" max="348" width="8.5703125" bestFit="1" customWidth="1"/>
    <col min="349" max="370" width="9.5703125" bestFit="1" customWidth="1"/>
    <col min="371" max="379" width="8.5703125" bestFit="1" customWidth="1"/>
    <col min="380" max="400" width="9.5703125" bestFit="1" customWidth="1"/>
    <col min="401" max="409" width="8.5703125" bestFit="1" customWidth="1"/>
    <col min="410" max="431" width="9.5703125" bestFit="1" customWidth="1"/>
    <col min="432" max="440" width="8.5703125" bestFit="1" customWidth="1"/>
    <col min="441" max="461" width="9.5703125" bestFit="1" customWidth="1"/>
    <col min="462" max="470" width="8.5703125" bestFit="1" customWidth="1"/>
    <col min="471" max="492" width="9.5703125" bestFit="1" customWidth="1"/>
    <col min="493" max="501" width="8.5703125" bestFit="1" customWidth="1"/>
    <col min="502" max="523" width="9.5703125" bestFit="1" customWidth="1"/>
    <col min="524" max="532" width="8.5703125" bestFit="1" customWidth="1"/>
    <col min="533" max="562" width="9.5703125" bestFit="1" customWidth="1"/>
    <col min="563" max="583" width="10.5703125" bestFit="1" customWidth="1"/>
    <col min="584" max="584" width="11.28515625" bestFit="1" customWidth="1"/>
  </cols>
  <sheetData>
    <row r="2" spans="2:25" x14ac:dyDescent="0.25">
      <c r="B2" t="s">
        <v>0</v>
      </c>
      <c r="D2" s="1" t="s">
        <v>1</v>
      </c>
      <c r="E2" t="s">
        <v>0</v>
      </c>
      <c r="G2" s="1" t="s">
        <v>1</v>
      </c>
      <c r="H2" t="s">
        <v>4</v>
      </c>
      <c r="K2" s="1" t="s">
        <v>1</v>
      </c>
      <c r="L2" t="s">
        <v>3</v>
      </c>
      <c r="N2" s="1" t="s">
        <v>1</v>
      </c>
      <c r="O2" t="s">
        <v>5</v>
      </c>
      <c r="P2" t="s">
        <v>8</v>
      </c>
      <c r="R2" s="9" t="s">
        <v>9</v>
      </c>
      <c r="S2" s="9" t="s">
        <v>10</v>
      </c>
      <c r="T2" s="18" t="s">
        <v>11</v>
      </c>
      <c r="U2" s="18"/>
      <c r="X2" s="1" t="s">
        <v>1</v>
      </c>
      <c r="Y2" t="s">
        <v>37</v>
      </c>
    </row>
    <row r="3" spans="2:25" x14ac:dyDescent="0.25">
      <c r="B3" s="19">
        <v>488</v>
      </c>
      <c r="D3" s="2" t="s">
        <v>39</v>
      </c>
      <c r="E3" s="19">
        <v>17</v>
      </c>
      <c r="G3" s="2" t="s">
        <v>39</v>
      </c>
      <c r="H3" s="4">
        <v>36.941176470588232</v>
      </c>
      <c r="K3" s="2" t="s">
        <v>39</v>
      </c>
      <c r="L3" s="4">
        <v>4.125</v>
      </c>
      <c r="N3" s="2" t="s">
        <v>6</v>
      </c>
      <c r="O3" s="5">
        <v>266</v>
      </c>
      <c r="P3" s="6">
        <v>0.54508196721311475</v>
      </c>
      <c r="R3" s="10" t="str">
        <f>N4</f>
        <v>Not Admitted</v>
      </c>
      <c r="S3" s="10">
        <f>O4</f>
        <v>222</v>
      </c>
      <c r="T3" s="11">
        <f>P4</f>
        <v>0.45491803278688525</v>
      </c>
      <c r="U3" s="12"/>
      <c r="X3" s="2" t="s">
        <v>29</v>
      </c>
      <c r="Y3" s="19">
        <v>11</v>
      </c>
    </row>
    <row r="4" spans="2:25" x14ac:dyDescent="0.25">
      <c r="D4" s="2" t="s">
        <v>40</v>
      </c>
      <c r="E4" s="19">
        <v>19</v>
      </c>
      <c r="G4" s="2" t="s">
        <v>40</v>
      </c>
      <c r="H4" s="4">
        <v>30.842105263157894</v>
      </c>
      <c r="K4" s="2" t="s">
        <v>40</v>
      </c>
      <c r="L4" s="4">
        <v>5.333333333333333</v>
      </c>
      <c r="N4" s="2" t="s">
        <v>7</v>
      </c>
      <c r="O4" s="5">
        <v>222</v>
      </c>
      <c r="P4" s="6">
        <v>0.45491803278688525</v>
      </c>
      <c r="R4" s="10" t="str">
        <f>N3</f>
        <v>Admitted</v>
      </c>
      <c r="S4" s="10">
        <f>O3</f>
        <v>266</v>
      </c>
      <c r="T4" s="11">
        <f>P3</f>
        <v>0.54508196721311475</v>
      </c>
      <c r="U4" s="12"/>
      <c r="X4" s="2" t="s">
        <v>30</v>
      </c>
      <c r="Y4" s="19">
        <v>11</v>
      </c>
    </row>
    <row r="5" spans="2:25" x14ac:dyDescent="0.25">
      <c r="D5" s="2" t="s">
        <v>41</v>
      </c>
      <c r="E5" s="19">
        <v>12</v>
      </c>
      <c r="G5" s="2" t="s">
        <v>41</v>
      </c>
      <c r="H5" s="4">
        <v>31.833333333333332</v>
      </c>
      <c r="K5" s="2" t="s">
        <v>41</v>
      </c>
      <c r="L5" s="4">
        <v>4.75</v>
      </c>
      <c r="N5" s="2" t="s">
        <v>2</v>
      </c>
      <c r="O5" s="5">
        <v>488</v>
      </c>
      <c r="P5" s="6">
        <v>1</v>
      </c>
      <c r="X5" s="2" t="s">
        <v>31</v>
      </c>
      <c r="Y5" s="19">
        <v>93</v>
      </c>
    </row>
    <row r="6" spans="2:25" x14ac:dyDescent="0.25">
      <c r="B6" t="s">
        <v>3</v>
      </c>
      <c r="D6" s="2" t="s">
        <v>42</v>
      </c>
      <c r="E6" s="19">
        <v>9</v>
      </c>
      <c r="G6" s="2" t="s">
        <v>42</v>
      </c>
      <c r="H6" s="4">
        <v>33.777777777777779</v>
      </c>
      <c r="K6" s="2" t="s">
        <v>42</v>
      </c>
      <c r="L6" s="4">
        <v>2</v>
      </c>
      <c r="X6" s="2" t="s">
        <v>32</v>
      </c>
      <c r="Y6" s="19">
        <v>7</v>
      </c>
    </row>
    <row r="7" spans="2:25" x14ac:dyDescent="0.25">
      <c r="B7" s="3">
        <v>4.7876712328767121</v>
      </c>
      <c r="D7" s="2" t="s">
        <v>43</v>
      </c>
      <c r="E7" s="19">
        <v>15</v>
      </c>
      <c r="G7" s="2" t="s">
        <v>43</v>
      </c>
      <c r="H7" s="4">
        <v>30.466666666666665</v>
      </c>
      <c r="K7" s="2" t="s">
        <v>43</v>
      </c>
      <c r="L7" s="4">
        <v>8</v>
      </c>
      <c r="X7" s="2" t="s">
        <v>33</v>
      </c>
      <c r="Y7" s="19">
        <v>290</v>
      </c>
    </row>
    <row r="8" spans="2:25" x14ac:dyDescent="0.25">
      <c r="D8" s="2" t="s">
        <v>44</v>
      </c>
      <c r="E8" s="19">
        <v>10</v>
      </c>
      <c r="G8" s="2" t="s">
        <v>44</v>
      </c>
      <c r="H8" s="4">
        <v>38.799999999999997</v>
      </c>
      <c r="K8" s="2" t="s">
        <v>44</v>
      </c>
      <c r="L8" s="4">
        <v>3.5</v>
      </c>
      <c r="X8" s="2" t="s">
        <v>34</v>
      </c>
      <c r="Y8" s="19">
        <v>60</v>
      </c>
    </row>
    <row r="9" spans="2:25" x14ac:dyDescent="0.25">
      <c r="D9" s="2" t="s">
        <v>45</v>
      </c>
      <c r="E9" s="19">
        <v>18</v>
      </c>
      <c r="G9" s="2" t="s">
        <v>45</v>
      </c>
      <c r="H9" s="4">
        <v>30.277777777777779</v>
      </c>
      <c r="K9" s="2" t="s">
        <v>45</v>
      </c>
      <c r="L9" s="4">
        <v>7</v>
      </c>
      <c r="X9" s="2" t="s">
        <v>35</v>
      </c>
      <c r="Y9" s="19">
        <v>12</v>
      </c>
    </row>
    <row r="10" spans="2:25" x14ac:dyDescent="0.25">
      <c r="B10" t="s">
        <v>4</v>
      </c>
      <c r="D10" s="2" t="s">
        <v>46</v>
      </c>
      <c r="E10" s="19">
        <v>19</v>
      </c>
      <c r="G10" s="2" t="s">
        <v>46</v>
      </c>
      <c r="H10" s="4">
        <v>35.157894736842103</v>
      </c>
      <c r="K10" s="2" t="s">
        <v>46</v>
      </c>
      <c r="L10" s="4">
        <v>3.5</v>
      </c>
      <c r="X10" s="2" t="s">
        <v>36</v>
      </c>
      <c r="Y10" s="19">
        <v>4</v>
      </c>
    </row>
    <row r="11" spans="2:25" x14ac:dyDescent="0.25">
      <c r="B11" s="3">
        <v>35.19877049180328</v>
      </c>
      <c r="D11" s="2" t="s">
        <v>47</v>
      </c>
      <c r="E11" s="19">
        <v>19</v>
      </c>
      <c r="G11" s="2" t="s">
        <v>47</v>
      </c>
      <c r="H11" s="4">
        <v>37.94736842105263</v>
      </c>
      <c r="K11" s="2" t="s">
        <v>47</v>
      </c>
      <c r="L11" s="4">
        <v>6.4</v>
      </c>
      <c r="X11" s="2" t="s">
        <v>2</v>
      </c>
      <c r="Y11" s="19">
        <v>488</v>
      </c>
    </row>
    <row r="12" spans="2:25" x14ac:dyDescent="0.25">
      <c r="D12" s="2" t="s">
        <v>48</v>
      </c>
      <c r="E12" s="19">
        <v>13</v>
      </c>
      <c r="G12" s="2" t="s">
        <v>48</v>
      </c>
      <c r="H12" s="4">
        <v>33.92307692307692</v>
      </c>
      <c r="K12" s="2" t="s">
        <v>48</v>
      </c>
      <c r="L12" s="4">
        <v>3.5</v>
      </c>
    </row>
    <row r="13" spans="2:25" x14ac:dyDescent="0.25">
      <c r="D13" s="2" t="s">
        <v>49</v>
      </c>
      <c r="E13" s="19">
        <v>15</v>
      </c>
      <c r="G13" s="2" t="s">
        <v>49</v>
      </c>
      <c r="H13" s="4">
        <v>33.200000000000003</v>
      </c>
      <c r="K13" s="2" t="s">
        <v>49</v>
      </c>
      <c r="L13" s="4">
        <v>6.5</v>
      </c>
      <c r="Y13" s="1" t="s">
        <v>1</v>
      </c>
    </row>
    <row r="14" spans="2:25" x14ac:dyDescent="0.25">
      <c r="D14" s="2" t="s">
        <v>50</v>
      </c>
      <c r="E14" s="19">
        <v>25</v>
      </c>
      <c r="G14" s="2" t="s">
        <v>50</v>
      </c>
      <c r="H14" s="4">
        <v>40.159999999999997</v>
      </c>
      <c r="K14" s="2" t="s">
        <v>50</v>
      </c>
      <c r="L14" s="4">
        <v>5.2857142857142856</v>
      </c>
      <c r="Y14" s="2" t="s">
        <v>38</v>
      </c>
    </row>
    <row r="15" spans="2:25" x14ac:dyDescent="0.25">
      <c r="D15" s="2" t="s">
        <v>51</v>
      </c>
      <c r="E15" s="19">
        <v>19</v>
      </c>
      <c r="G15" s="2" t="s">
        <v>51</v>
      </c>
      <c r="H15" s="4">
        <v>41.578947368421055</v>
      </c>
      <c r="K15" s="2" t="s">
        <v>51</v>
      </c>
      <c r="L15" s="4">
        <v>4.333333333333333</v>
      </c>
      <c r="Y15" s="2" t="s">
        <v>2</v>
      </c>
    </row>
    <row r="16" spans="2:25" x14ac:dyDescent="0.25">
      <c r="D16" s="2" t="s">
        <v>52</v>
      </c>
      <c r="E16" s="19">
        <v>15</v>
      </c>
      <c r="G16" s="2" t="s">
        <v>52</v>
      </c>
      <c r="H16" s="4">
        <v>36.866666666666667</v>
      </c>
      <c r="K16" s="2" t="s">
        <v>52</v>
      </c>
      <c r="L16" s="4">
        <v>3</v>
      </c>
    </row>
    <row r="17" spans="4:23" x14ac:dyDescent="0.25">
      <c r="D17" s="2" t="s">
        <v>53</v>
      </c>
      <c r="E17" s="19">
        <v>14</v>
      </c>
      <c r="G17" s="2" t="s">
        <v>53</v>
      </c>
      <c r="H17" s="4">
        <v>33.714285714285715</v>
      </c>
      <c r="K17" s="2" t="s">
        <v>53</v>
      </c>
      <c r="L17" s="4">
        <v>4.333333333333333</v>
      </c>
      <c r="N17" s="1" t="s">
        <v>1</v>
      </c>
      <c r="O17" t="s">
        <v>20</v>
      </c>
      <c r="Q17" s="1" t="s">
        <v>1</v>
      </c>
      <c r="R17" t="s">
        <v>23</v>
      </c>
    </row>
    <row r="18" spans="4:23" x14ac:dyDescent="0.25">
      <c r="D18" s="2" t="s">
        <v>54</v>
      </c>
      <c r="E18" s="19">
        <v>20</v>
      </c>
      <c r="G18" s="2" t="s">
        <v>54</v>
      </c>
      <c r="H18" s="4">
        <v>33.700000000000003</v>
      </c>
      <c r="K18" s="2" t="s">
        <v>54</v>
      </c>
      <c r="L18" s="4">
        <v>3.3333333333333335</v>
      </c>
      <c r="N18" s="2" t="s">
        <v>12</v>
      </c>
      <c r="O18" s="19">
        <v>62</v>
      </c>
      <c r="Q18" s="2" t="s">
        <v>21</v>
      </c>
      <c r="R18" s="19">
        <v>288</v>
      </c>
    </row>
    <row r="19" spans="4:23" x14ac:dyDescent="0.25">
      <c r="D19" s="2" t="s">
        <v>55</v>
      </c>
      <c r="E19" s="19">
        <v>14</v>
      </c>
      <c r="G19" s="2" t="s">
        <v>55</v>
      </c>
      <c r="H19" s="4">
        <v>34.642857142857146</v>
      </c>
      <c r="K19" s="2" t="s">
        <v>55</v>
      </c>
      <c r="L19" s="4">
        <v>2.5714285714285716</v>
      </c>
      <c r="N19" s="2" t="s">
        <v>13</v>
      </c>
      <c r="O19" s="19">
        <v>73</v>
      </c>
      <c r="Q19" s="2" t="s">
        <v>22</v>
      </c>
      <c r="R19" s="19">
        <v>200</v>
      </c>
      <c r="U19" s="7"/>
    </row>
    <row r="20" spans="4:23" x14ac:dyDescent="0.25">
      <c r="D20" s="2" t="s">
        <v>56</v>
      </c>
      <c r="E20" s="19">
        <v>14</v>
      </c>
      <c r="G20" s="2" t="s">
        <v>56</v>
      </c>
      <c r="H20" s="4">
        <v>36.5</v>
      </c>
      <c r="K20" s="2" t="s">
        <v>56</v>
      </c>
      <c r="L20" s="4">
        <v>3.75</v>
      </c>
      <c r="N20" s="2" t="s">
        <v>14</v>
      </c>
      <c r="O20" s="19">
        <v>49</v>
      </c>
      <c r="Q20" s="2" t="s">
        <v>2</v>
      </c>
      <c r="R20" s="19">
        <v>488</v>
      </c>
    </row>
    <row r="21" spans="4:23" x14ac:dyDescent="0.25">
      <c r="D21" s="2" t="s">
        <v>57</v>
      </c>
      <c r="E21" s="19">
        <v>17</v>
      </c>
      <c r="G21" s="2" t="s">
        <v>57</v>
      </c>
      <c r="H21" s="4">
        <v>33.058823529411768</v>
      </c>
      <c r="K21" s="2" t="s">
        <v>57</v>
      </c>
      <c r="L21" s="4">
        <v>8.3333333333333339</v>
      </c>
      <c r="N21" s="2" t="s">
        <v>15</v>
      </c>
      <c r="O21" s="19">
        <v>44</v>
      </c>
    </row>
    <row r="22" spans="4:23" x14ac:dyDescent="0.25">
      <c r="D22" s="2" t="s">
        <v>58</v>
      </c>
      <c r="E22" s="19">
        <v>16</v>
      </c>
      <c r="G22" s="2" t="s">
        <v>58</v>
      </c>
      <c r="H22" s="4">
        <v>33.5625</v>
      </c>
      <c r="K22" s="2" t="s">
        <v>58</v>
      </c>
      <c r="L22" s="4">
        <v>3.75</v>
      </c>
      <c r="N22" s="2" t="s">
        <v>16</v>
      </c>
      <c r="O22" s="19">
        <v>72</v>
      </c>
      <c r="Q22" s="1" t="s">
        <v>1</v>
      </c>
      <c r="R22" t="s">
        <v>26</v>
      </c>
      <c r="U22" s="7"/>
      <c r="V22" s="8" t="s">
        <v>25</v>
      </c>
      <c r="W22" t="s">
        <v>24</v>
      </c>
    </row>
    <row r="23" spans="4:23" x14ac:dyDescent="0.25">
      <c r="D23" s="2" t="s">
        <v>59</v>
      </c>
      <c r="E23" s="19">
        <v>18</v>
      </c>
      <c r="G23" s="2" t="s">
        <v>59</v>
      </c>
      <c r="H23" s="4">
        <v>31.555555555555557</v>
      </c>
      <c r="K23" s="2" t="s">
        <v>59</v>
      </c>
      <c r="L23" s="4">
        <v>4.666666666666667</v>
      </c>
      <c r="N23" s="2" t="s">
        <v>17</v>
      </c>
      <c r="O23" s="19">
        <v>71</v>
      </c>
      <c r="Q23" s="2" t="s">
        <v>24</v>
      </c>
      <c r="R23" s="8">
        <v>0.47540983606557374</v>
      </c>
      <c r="U23" s="7" t="s">
        <v>27</v>
      </c>
      <c r="V23" s="8">
        <f>GETPIVOTDATA("[Measures].[Count of Patient Gender]",$Q$22,"[Hospital Emergency Room Data  1].[Patient Gender]","[Hospital Emergency Room Data  1].[Patient Gender].&amp;[Male]")</f>
        <v>0.52459016393442626</v>
      </c>
      <c r="W23" s="8">
        <f>GETPIVOTDATA("[Measures].[Count of Patient Gender]",$Q$22,"[Hospital Emergency Room Data  1].[Patient Gender]","[Hospital Emergency Room Data  1].[Patient Gender].&amp;[Female]")</f>
        <v>0.47540983606557374</v>
      </c>
    </row>
    <row r="24" spans="4:23" x14ac:dyDescent="0.25">
      <c r="D24" s="2" t="s">
        <v>60</v>
      </c>
      <c r="E24" s="19">
        <v>8</v>
      </c>
      <c r="G24" s="2" t="s">
        <v>60</v>
      </c>
      <c r="H24" s="4">
        <v>38.375</v>
      </c>
      <c r="K24" s="2" t="s">
        <v>60</v>
      </c>
      <c r="L24" s="4">
        <v>5</v>
      </c>
      <c r="N24" s="2" t="s">
        <v>18</v>
      </c>
      <c r="O24" s="19">
        <v>59</v>
      </c>
      <c r="Q24" s="2" t="s">
        <v>25</v>
      </c>
      <c r="R24" s="8">
        <v>0.52459016393442626</v>
      </c>
      <c r="U24" s="7" t="s">
        <v>28</v>
      </c>
      <c r="V24" s="8">
        <f>100%</f>
        <v>1</v>
      </c>
      <c r="W24" s="8">
        <f>100%</f>
        <v>1</v>
      </c>
    </row>
    <row r="25" spans="4:23" x14ac:dyDescent="0.25">
      <c r="D25" s="2" t="s">
        <v>61</v>
      </c>
      <c r="E25" s="19">
        <v>17</v>
      </c>
      <c r="G25" s="2" t="s">
        <v>61</v>
      </c>
      <c r="H25" s="4">
        <v>35.411764705882355</v>
      </c>
      <c r="K25" s="2" t="s">
        <v>61</v>
      </c>
      <c r="L25" s="4">
        <v>4.333333333333333</v>
      </c>
      <c r="N25" s="2" t="s">
        <v>19</v>
      </c>
      <c r="O25" s="19">
        <v>58</v>
      </c>
      <c r="Q25" s="2" t="s">
        <v>2</v>
      </c>
      <c r="R25" s="8">
        <v>1</v>
      </c>
    </row>
    <row r="26" spans="4:23" x14ac:dyDescent="0.25">
      <c r="D26" s="2" t="s">
        <v>62</v>
      </c>
      <c r="E26" s="19">
        <v>11</v>
      </c>
      <c r="G26" s="2" t="s">
        <v>62</v>
      </c>
      <c r="H26" s="4">
        <v>34.909090909090907</v>
      </c>
      <c r="K26" s="2" t="s">
        <v>62</v>
      </c>
      <c r="L26" s="4">
        <v>4.666666666666667</v>
      </c>
      <c r="N26" s="2" t="s">
        <v>2</v>
      </c>
      <c r="O26" s="19">
        <v>488</v>
      </c>
    </row>
    <row r="27" spans="4:23" x14ac:dyDescent="0.25">
      <c r="D27" s="2" t="s">
        <v>63</v>
      </c>
      <c r="E27" s="19">
        <v>15</v>
      </c>
      <c r="G27" s="2" t="s">
        <v>63</v>
      </c>
      <c r="H27" s="4">
        <v>35.133333333333333</v>
      </c>
      <c r="K27" s="2" t="s">
        <v>63</v>
      </c>
      <c r="L27" s="4">
        <v>4.5</v>
      </c>
    </row>
    <row r="28" spans="4:23" x14ac:dyDescent="0.25">
      <c r="D28" s="2" t="s">
        <v>64</v>
      </c>
      <c r="E28" s="19">
        <v>13</v>
      </c>
      <c r="G28" s="2" t="s">
        <v>64</v>
      </c>
      <c r="H28" s="4">
        <v>35.07692307692308</v>
      </c>
      <c r="K28" s="2" t="s">
        <v>64</v>
      </c>
      <c r="L28" s="4">
        <v>6</v>
      </c>
    </row>
    <row r="29" spans="4:23" x14ac:dyDescent="0.25">
      <c r="D29" s="2" t="s">
        <v>65</v>
      </c>
      <c r="E29" s="19">
        <v>17</v>
      </c>
      <c r="G29" s="2" t="s">
        <v>65</v>
      </c>
      <c r="H29" s="4">
        <v>35.352941176470587</v>
      </c>
      <c r="K29" s="2" t="s">
        <v>65</v>
      </c>
      <c r="L29" s="4">
        <v>6.8888888888888893</v>
      </c>
    </row>
    <row r="30" spans="4:23" x14ac:dyDescent="0.25">
      <c r="D30" s="2" t="s">
        <v>66</v>
      </c>
      <c r="E30" s="19">
        <v>20</v>
      </c>
      <c r="G30" s="2" t="s">
        <v>66</v>
      </c>
      <c r="H30" s="4">
        <v>36.6</v>
      </c>
      <c r="K30" s="2" t="s">
        <v>66</v>
      </c>
      <c r="L30" s="4">
        <v>6.5714285714285712</v>
      </c>
    </row>
    <row r="31" spans="4:23" x14ac:dyDescent="0.25">
      <c r="D31" s="2" t="s">
        <v>67</v>
      </c>
      <c r="E31" s="19">
        <v>20</v>
      </c>
      <c r="G31" s="2" t="s">
        <v>67</v>
      </c>
      <c r="H31" s="4">
        <v>35.799999999999997</v>
      </c>
      <c r="K31" s="2" t="s">
        <v>67</v>
      </c>
      <c r="L31" s="4">
        <v>4.0999999999999996</v>
      </c>
    </row>
    <row r="32" spans="4:23" x14ac:dyDescent="0.25">
      <c r="D32" s="2" t="s">
        <v>68</v>
      </c>
      <c r="E32" s="19">
        <v>13</v>
      </c>
      <c r="G32" s="2" t="s">
        <v>68</v>
      </c>
      <c r="H32" s="4">
        <v>30.307692307692307</v>
      </c>
      <c r="K32" s="2" t="s">
        <v>68</v>
      </c>
      <c r="L32" s="4">
        <v>5</v>
      </c>
    </row>
    <row r="33" spans="4:12" x14ac:dyDescent="0.25">
      <c r="D33" s="2" t="s">
        <v>69</v>
      </c>
      <c r="E33" s="19">
        <v>16</v>
      </c>
      <c r="G33" s="2" t="s">
        <v>69</v>
      </c>
      <c r="H33" s="4">
        <v>42.75</v>
      </c>
      <c r="K33" s="2" t="s">
        <v>69</v>
      </c>
      <c r="L33" s="4">
        <v>5.4</v>
      </c>
    </row>
    <row r="34" spans="4:12" x14ac:dyDescent="0.25">
      <c r="D34" s="2" t="s">
        <v>2</v>
      </c>
      <c r="E34" s="19">
        <v>488</v>
      </c>
      <c r="G34" s="2" t="s">
        <v>2</v>
      </c>
      <c r="H34" s="4">
        <v>35.19877049180328</v>
      </c>
      <c r="K34" s="2" t="s">
        <v>2</v>
      </c>
      <c r="L34" s="4">
        <v>4.7876712328767121</v>
      </c>
    </row>
  </sheetData>
  <mergeCells count="1">
    <mergeCell ref="T2:U2"/>
  </mergeCells>
  <pageMargins left="0.7" right="0.7" top="0.75" bottom="0.75" header="0.3" footer="0.3"/>
  <drawing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EE994D5-957C-4A8E-A4C9-1AED30EE4A69}">
  <ds:schemaRefs/>
</ds:datastoreItem>
</file>

<file path=customXml/itemProps2.xml><?xml version="1.0" encoding="utf-8"?>
<ds:datastoreItem xmlns:ds="http://schemas.openxmlformats.org/officeDocument/2006/customXml" ds:itemID="{BF4D7D67-5D0B-4DD2-91A2-89D5B8A405E5}">
  <ds:schemaRefs/>
</ds:datastoreItem>
</file>

<file path=customXml/itemProps3.xml><?xml version="1.0" encoding="utf-8"?>
<ds:datastoreItem xmlns:ds="http://schemas.openxmlformats.org/officeDocument/2006/customXml" ds:itemID="{11CCEAED-1346-48DF-8CD9-853EA6A917C9}">
  <ds:schemaRefs/>
</ds:datastoreItem>
</file>

<file path=customXml/itemProps4.xml><?xml version="1.0" encoding="utf-8"?>
<ds:datastoreItem xmlns:ds="http://schemas.openxmlformats.org/officeDocument/2006/customXml" ds:itemID="{976BE846-3114-4AA2-B830-1ECB9A323970}">
  <ds:schemaRefs/>
</ds:datastoreItem>
</file>

<file path=customXml/itemProps5.xml><?xml version="1.0" encoding="utf-8"?>
<ds:datastoreItem xmlns:ds="http://schemas.openxmlformats.org/officeDocument/2006/customXml" ds:itemID="{765DA0C5-DE79-4B86-AD77-6225FC14F9D0}">
  <ds:schemaRefs/>
</ds:datastoreItem>
</file>

<file path=customXml/itemProps6.xml><?xml version="1.0" encoding="utf-8"?>
<ds:datastoreItem xmlns:ds="http://schemas.openxmlformats.org/officeDocument/2006/customXml" ds:itemID="{3E892D45-CCF9-4EF5-8C70-BA50DBEC52B5}">
  <ds:schemaRefs/>
</ds:datastoreItem>
</file>

<file path=customXml/itemProps7.xml><?xml version="1.0" encoding="utf-8"?>
<ds:datastoreItem xmlns:ds="http://schemas.openxmlformats.org/officeDocument/2006/customXml" ds:itemID="{C334441C-C422-4472-BE74-BBCA10B5A11F}">
  <ds:schemaRefs/>
</ds:datastoreItem>
</file>

<file path=customXml/itemProps8.xml><?xml version="1.0" encoding="utf-8"?>
<ds:datastoreItem xmlns:ds="http://schemas.openxmlformats.org/officeDocument/2006/customXml" ds:itemID="{3808E154-A65F-4ADF-B237-F74438B18749}">
  <ds:schemaRefs/>
</ds:datastoreItem>
</file>

<file path=customXml/itemProps9.xml><?xml version="1.0" encoding="utf-8"?>
<ds:datastoreItem xmlns:ds="http://schemas.openxmlformats.org/officeDocument/2006/customXml" ds:itemID="{3581CBF8-8151-4C2C-A5E3-8F389A61B5F5}">
  <ds:schemaRefs/>
</ds:datastoreItem>
</file>

<file path=customXml/itemProps10.xml><?xml version="1.0" encoding="utf-8"?>
<ds:datastoreItem xmlns:ds="http://schemas.openxmlformats.org/officeDocument/2006/customXml" ds:itemID="{528026C0-F991-49F4-9725-E1F5DFD9061B}">
  <ds:schemaRefs/>
</ds:datastoreItem>
</file>

<file path=customXml/itemProps11.xml><?xml version="1.0" encoding="utf-8"?>
<ds:datastoreItem xmlns:ds="http://schemas.openxmlformats.org/officeDocument/2006/customXml" ds:itemID="{DB43FE7F-BBD6-4EDD-80FB-9E5850CBA824}">
  <ds:schemaRefs/>
</ds:datastoreItem>
</file>

<file path=customXml/itemProps12.xml><?xml version="1.0" encoding="utf-8"?>
<ds:datastoreItem xmlns:ds="http://schemas.openxmlformats.org/officeDocument/2006/customXml" ds:itemID="{1BFD5733-BD37-42C1-AA54-50EEC74BA026}">
  <ds:schemaRefs/>
</ds:datastoreItem>
</file>

<file path=customXml/itemProps13.xml><?xml version="1.0" encoding="utf-8"?>
<ds:datastoreItem xmlns:ds="http://schemas.openxmlformats.org/officeDocument/2006/customXml" ds:itemID="{278AE83F-2FB6-48C0-920F-F2108DA99535}">
  <ds:schemaRefs>
    <ds:schemaRef ds:uri="http://schemas.microsoft.com/DataMashup"/>
  </ds:schemaRefs>
</ds:datastoreItem>
</file>

<file path=customXml/itemProps14.xml><?xml version="1.0" encoding="utf-8"?>
<ds:datastoreItem xmlns:ds="http://schemas.openxmlformats.org/officeDocument/2006/customXml" ds:itemID="{14E30C06-A710-4E66-AE7B-780ADA5A466B}">
  <ds:schemaRefs/>
</ds:datastoreItem>
</file>

<file path=customXml/itemProps15.xml><?xml version="1.0" encoding="utf-8"?>
<ds:datastoreItem xmlns:ds="http://schemas.openxmlformats.org/officeDocument/2006/customXml" ds:itemID="{FCF98E2E-3027-4674-9FE3-94984B261227}">
  <ds:schemaRefs/>
</ds:datastoreItem>
</file>

<file path=customXml/itemProps16.xml><?xml version="1.0" encoding="utf-8"?>
<ds:datastoreItem xmlns:ds="http://schemas.openxmlformats.org/officeDocument/2006/customXml" ds:itemID="{1E67E2E3-BCD8-45CC-91BD-0039974EF196}">
  <ds:schemaRefs/>
</ds:datastoreItem>
</file>

<file path=customXml/itemProps17.xml><?xml version="1.0" encoding="utf-8"?>
<ds:datastoreItem xmlns:ds="http://schemas.openxmlformats.org/officeDocument/2006/customXml" ds:itemID="{FC124C35-8F3A-4FAD-A82A-3CE9773399F2}">
  <ds:schemaRefs/>
</ds:datastoreItem>
</file>

<file path=customXml/itemProps18.xml><?xml version="1.0" encoding="utf-8"?>
<ds:datastoreItem xmlns:ds="http://schemas.openxmlformats.org/officeDocument/2006/customXml" ds:itemID="{CE188BC3-0F57-4C89-9A82-704F8C29D197}">
  <ds:schemaRefs/>
</ds:datastoreItem>
</file>

<file path=customXml/itemProps19.xml><?xml version="1.0" encoding="utf-8"?>
<ds:datastoreItem xmlns:ds="http://schemas.openxmlformats.org/officeDocument/2006/customXml" ds:itemID="{F251CA74-4F0F-4C91-BCD1-B36EA231DA6F}">
  <ds:schemaRefs/>
</ds:datastoreItem>
</file>

<file path=customXml/itemProps20.xml><?xml version="1.0" encoding="utf-8"?>
<ds:datastoreItem xmlns:ds="http://schemas.openxmlformats.org/officeDocument/2006/customXml" ds:itemID="{CB4C444E-7EEC-4A91-AF4B-1774E6162E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Dashboards</vt:lpstr>
      <vt:lpstr>KPI</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 ADHIKARY</dc:creator>
  <cp:lastModifiedBy>JIT ADHIKARY</cp:lastModifiedBy>
  <dcterms:created xsi:type="dcterms:W3CDTF">2026-07-14T08:59:50Z</dcterms:created>
  <dcterms:modified xsi:type="dcterms:W3CDTF">2026-08-03T17:31:41Z</dcterms:modified>
</cp:coreProperties>
</file>